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igermailauburn-my.sharepoint.com/personal/mdr0024_auburn_edu/Documents/Desktop/1_Auburn University files (2-3-22)/1a_Papers and data sets/1a_DONE papers/1DONE_NORE Beet-it study (McIntosh, 2024)/"/>
    </mc:Choice>
  </mc:AlternateContent>
  <xr:revisionPtr revIDLastSave="1560" documentId="13_ncr:1_{070D3B05-6F27-4C9A-8ABD-F810BE31786C}" xr6:coauthVersionLast="47" xr6:coauthVersionMax="47" xr10:uidLastSave="{526EA787-0B3C-43DA-A8FE-BA77F33A2D75}"/>
  <bookViews>
    <workbookView xWindow="-120" yWindow="-120" windowWidth="29040" windowHeight="15720" tabRatio="872" firstSheet="3" activeTab="4" xr2:uid="{F844967B-88F6-448D-A336-809E2F2140FE}"/>
  </bookViews>
  <sheets>
    <sheet name="Involv. researchers" sheetId="2" r:id="rId1"/>
    <sheet name="Supp Random_DONE" sheetId="1" r:id="rId2"/>
    <sheet name="CONSORT data" sheetId="3" r:id="rId3"/>
    <sheet name="Adherence to suppl._DONE" sheetId="5" r:id="rId4"/>
    <sheet name="Whole body DXA_DONE" sheetId="4" r:id="rId5"/>
    <sheet name="Demographics_DONE" sheetId="19" r:id="rId6"/>
    <sheet name="Segmental DXA data_DONE" sheetId="9" r:id="rId7"/>
    <sheet name="mid-thigh USound_DONE" sheetId="8" r:id="rId8"/>
    <sheet name="Training volume_DONE" sheetId="6" r:id="rId9"/>
    <sheet name="Strength tests_DONE" sheetId="14" r:id="rId10"/>
    <sheet name="Muscle nitrate_nitrite" sheetId="10" r:id="rId11"/>
    <sheet name="Samples for histology" sheetId="15" r:id="rId12"/>
    <sheet name="Tidied Western blot data" sheetId="11" r:id="rId13"/>
    <sheet name="BCA &amp; lysate WB preps" sheetId="7" r:id="rId14"/>
    <sheet name="Tided fCSA data" sheetId="12" r:id="rId15"/>
    <sheet name="Tidied capillary data" sheetId="17" r:id="rId16"/>
    <sheet name="Heart rate and BP data" sheetId="16" r:id="rId17"/>
    <sheet name="Tided FMD data" sheetId="18" r:id="rId18"/>
    <sheet name="Raw FMD data" sheetId="20" r:id="rId19"/>
  </sheets>
  <definedNames>
    <definedName name="_xlnm._FilterDatabase" localSheetId="1" hidden="1">'Supp Random_DONE'!$A$1:$H$1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6" l="1"/>
  <c r="F41" i="16"/>
  <c r="K71" i="18"/>
  <c r="M92" i="18"/>
  <c r="K92" i="18"/>
  <c r="I92" i="18"/>
  <c r="G92" i="18"/>
  <c r="E92" i="18"/>
  <c r="M91" i="18"/>
  <c r="L91" i="18"/>
  <c r="K91" i="18"/>
  <c r="J91" i="18"/>
  <c r="I91" i="18"/>
  <c r="H91" i="18"/>
  <c r="G91" i="18"/>
  <c r="F91" i="18"/>
  <c r="E91" i="18"/>
  <c r="D91" i="18"/>
  <c r="B91" i="18"/>
  <c r="M90" i="18"/>
  <c r="L90" i="18"/>
  <c r="K90" i="18"/>
  <c r="J90" i="18"/>
  <c r="I90" i="18"/>
  <c r="H90" i="18"/>
  <c r="G90" i="18"/>
  <c r="F90" i="18"/>
  <c r="E90" i="18"/>
  <c r="D90" i="18"/>
  <c r="B90" i="18"/>
  <c r="M71" i="18"/>
  <c r="I71" i="18"/>
  <c r="G71" i="18"/>
  <c r="E71" i="18"/>
  <c r="M70" i="18"/>
  <c r="L70" i="18"/>
  <c r="K70" i="18"/>
  <c r="J70" i="18"/>
  <c r="I70" i="18"/>
  <c r="H70" i="18"/>
  <c r="G70" i="18"/>
  <c r="F70" i="18"/>
  <c r="E70" i="18"/>
  <c r="D70" i="18"/>
  <c r="B70" i="18"/>
  <c r="M69" i="18"/>
  <c r="L69" i="18"/>
  <c r="K69" i="18"/>
  <c r="J69" i="18"/>
  <c r="I69" i="18"/>
  <c r="H69" i="18"/>
  <c r="G69" i="18"/>
  <c r="F69" i="18"/>
  <c r="E69" i="18"/>
  <c r="D69" i="18"/>
  <c r="B69" i="18"/>
  <c r="M36" i="8"/>
  <c r="K36" i="8"/>
  <c r="AG31" i="20"/>
  <c r="AD31" i="20"/>
  <c r="Z31" i="20"/>
  <c r="AF31" i="20" s="1"/>
  <c r="AH31" i="20" s="1"/>
  <c r="X31" i="20"/>
  <c r="V31" i="20"/>
  <c r="T31" i="20"/>
  <c r="AB31" i="20" s="1"/>
  <c r="J31" i="20"/>
  <c r="L31" i="20" s="1"/>
  <c r="AD29" i="20"/>
  <c r="AC29" i="20"/>
  <c r="Z29" i="20"/>
  <c r="AF29" i="20" s="1"/>
  <c r="AH29" i="20" s="1"/>
  <c r="Y29" i="20"/>
  <c r="AE29" i="20" s="1"/>
  <c r="AG29" i="20" s="1"/>
  <c r="X29" i="20"/>
  <c r="W29" i="20"/>
  <c r="V29" i="20"/>
  <c r="U29" i="20"/>
  <c r="T29" i="20"/>
  <c r="AB29" i="20" s="1"/>
  <c r="S29" i="20"/>
  <c r="AA29" i="20" s="1"/>
  <c r="J29" i="20"/>
  <c r="L29" i="20" s="1"/>
  <c r="AJ29" i="20" s="1"/>
  <c r="I29" i="20"/>
  <c r="K29" i="20" s="1"/>
  <c r="AD28" i="20"/>
  <c r="AC28" i="20"/>
  <c r="Z28" i="20"/>
  <c r="AF28" i="20" s="1"/>
  <c r="AH28" i="20" s="1"/>
  <c r="Y28" i="20"/>
  <c r="AE28" i="20" s="1"/>
  <c r="X28" i="20"/>
  <c r="W28" i="20"/>
  <c r="V28" i="20"/>
  <c r="U28" i="20"/>
  <c r="T28" i="20"/>
  <c r="AB28" i="20" s="1"/>
  <c r="S28" i="20"/>
  <c r="AA28" i="20" s="1"/>
  <c r="J28" i="20"/>
  <c r="L28" i="20" s="1"/>
  <c r="I28" i="20"/>
  <c r="K28" i="20" s="1"/>
  <c r="AC27" i="20"/>
  <c r="Y27" i="20"/>
  <c r="AE27" i="20" s="1"/>
  <c r="W27" i="20"/>
  <c r="U27" i="20"/>
  <c r="S27" i="20"/>
  <c r="AA27" i="20" s="1"/>
  <c r="I27" i="20"/>
  <c r="K27" i="20" s="1"/>
  <c r="AD26" i="20"/>
  <c r="AC26" i="20"/>
  <c r="Z26" i="20"/>
  <c r="AF26" i="20" s="1"/>
  <c r="AH26" i="20" s="1"/>
  <c r="Y26" i="20"/>
  <c r="AE26" i="20" s="1"/>
  <c r="X26" i="20"/>
  <c r="W26" i="20"/>
  <c r="V26" i="20"/>
  <c r="U26" i="20"/>
  <c r="T26" i="20"/>
  <c r="AB26" i="20" s="1"/>
  <c r="S26" i="20"/>
  <c r="AA26" i="20" s="1"/>
  <c r="K26" i="20"/>
  <c r="J26" i="20"/>
  <c r="L26" i="20" s="1"/>
  <c r="I26" i="20"/>
  <c r="AC24" i="20"/>
  <c r="Y24" i="20"/>
  <c r="AE24" i="20" s="1"/>
  <c r="W24" i="20"/>
  <c r="U24" i="20"/>
  <c r="S24" i="20"/>
  <c r="AA24" i="20" s="1"/>
  <c r="I24" i="20"/>
  <c r="K24" i="20" s="1"/>
  <c r="AI24" i="20" s="1"/>
  <c r="AF23" i="20"/>
  <c r="AH23" i="20" s="1"/>
  <c r="AD23" i="20"/>
  <c r="AC23" i="20"/>
  <c r="Z23" i="20"/>
  <c r="Y23" i="20"/>
  <c r="AE23" i="20" s="1"/>
  <c r="X23" i="20"/>
  <c r="W23" i="20"/>
  <c r="V23" i="20"/>
  <c r="U23" i="20"/>
  <c r="T23" i="20"/>
  <c r="AB23" i="20" s="1"/>
  <c r="S23" i="20"/>
  <c r="AA23" i="20" s="1"/>
  <c r="J23" i="20"/>
  <c r="L23" i="20" s="1"/>
  <c r="I23" i="20"/>
  <c r="K23" i="20" s="1"/>
  <c r="AE22" i="20"/>
  <c r="AG22" i="20" s="1"/>
  <c r="AD22" i="20"/>
  <c r="AC22" i="20"/>
  <c r="Z22" i="20"/>
  <c r="AF22" i="20" s="1"/>
  <c r="AH22" i="20" s="1"/>
  <c r="Y22" i="20"/>
  <c r="X22" i="20"/>
  <c r="W22" i="20"/>
  <c r="V22" i="20"/>
  <c r="U22" i="20"/>
  <c r="T22" i="20"/>
  <c r="AB22" i="20" s="1"/>
  <c r="S22" i="20"/>
  <c r="AA22" i="20" s="1"/>
  <c r="J22" i="20"/>
  <c r="L22" i="20" s="1"/>
  <c r="I22" i="20"/>
  <c r="K22" i="20" s="1"/>
  <c r="AE21" i="20"/>
  <c r="AG21" i="20" s="1"/>
  <c r="AD21" i="20"/>
  <c r="AC21" i="20"/>
  <c r="Z21" i="20"/>
  <c r="AF21" i="20" s="1"/>
  <c r="AH21" i="20" s="1"/>
  <c r="Y21" i="20"/>
  <c r="X21" i="20"/>
  <c r="W21" i="20"/>
  <c r="V21" i="20"/>
  <c r="U21" i="20"/>
  <c r="T21" i="20"/>
  <c r="AB21" i="20" s="1"/>
  <c r="S21" i="20"/>
  <c r="AA21" i="20" s="1"/>
  <c r="J21" i="20"/>
  <c r="L21" i="20" s="1"/>
  <c r="I21" i="20"/>
  <c r="K21" i="20" s="1"/>
  <c r="AD20" i="20"/>
  <c r="AC20" i="20"/>
  <c r="AB20" i="20"/>
  <c r="AA20" i="20"/>
  <c r="Z20" i="20"/>
  <c r="AF20" i="20" s="1"/>
  <c r="AH20" i="20" s="1"/>
  <c r="Y20" i="20"/>
  <c r="AE20" i="20" s="1"/>
  <c r="AG20" i="20" s="1"/>
  <c r="X20" i="20"/>
  <c r="W20" i="20"/>
  <c r="V20" i="20"/>
  <c r="U20" i="20"/>
  <c r="T20" i="20"/>
  <c r="S20" i="20"/>
  <c r="J20" i="20"/>
  <c r="L20" i="20" s="1"/>
  <c r="AJ20" i="20" s="1"/>
  <c r="I20" i="20"/>
  <c r="K20" i="20" s="1"/>
  <c r="AD19" i="20"/>
  <c r="AC19" i="20"/>
  <c r="AB19" i="20"/>
  <c r="AA19" i="20"/>
  <c r="Z19" i="20"/>
  <c r="AF19" i="20" s="1"/>
  <c r="AH19" i="20" s="1"/>
  <c r="Y19" i="20"/>
  <c r="AE19" i="20" s="1"/>
  <c r="AG19" i="20" s="1"/>
  <c r="X19" i="20"/>
  <c r="W19" i="20"/>
  <c r="V19" i="20"/>
  <c r="U19" i="20"/>
  <c r="T19" i="20"/>
  <c r="S19" i="20"/>
  <c r="J19" i="20"/>
  <c r="L19" i="20" s="1"/>
  <c r="I19" i="20"/>
  <c r="K19" i="20" s="1"/>
  <c r="AI19" i="20" s="1"/>
  <c r="AD18" i="20"/>
  <c r="AC18" i="20"/>
  <c r="Z18" i="20"/>
  <c r="AF18" i="20" s="1"/>
  <c r="AH18" i="20" s="1"/>
  <c r="Y18" i="20"/>
  <c r="AE18" i="20" s="1"/>
  <c r="AG18" i="20" s="1"/>
  <c r="X18" i="20"/>
  <c r="W18" i="20"/>
  <c r="V18" i="20"/>
  <c r="U18" i="20"/>
  <c r="T18" i="20"/>
  <c r="AB18" i="20" s="1"/>
  <c r="S18" i="20"/>
  <c r="AA18" i="20" s="1"/>
  <c r="J18" i="20"/>
  <c r="L18" i="20" s="1"/>
  <c r="I18" i="20"/>
  <c r="K18" i="20" s="1"/>
  <c r="AI18" i="20" s="1"/>
  <c r="AD17" i="20"/>
  <c r="AC17" i="20"/>
  <c r="AB17" i="20"/>
  <c r="AA17" i="20"/>
  <c r="Z17" i="20"/>
  <c r="AF17" i="20" s="1"/>
  <c r="AH17" i="20" s="1"/>
  <c r="Y17" i="20"/>
  <c r="AE17" i="20" s="1"/>
  <c r="AG17" i="20" s="1"/>
  <c r="X17" i="20"/>
  <c r="W17" i="20"/>
  <c r="V17" i="20"/>
  <c r="U17" i="20"/>
  <c r="T17" i="20"/>
  <c r="S17" i="20"/>
  <c r="J17" i="20"/>
  <c r="L17" i="20" s="1"/>
  <c r="I17" i="20"/>
  <c r="K17" i="20" s="1"/>
  <c r="AD15" i="20"/>
  <c r="AC15" i="20"/>
  <c r="Z15" i="20"/>
  <c r="AF15" i="20" s="1"/>
  <c r="AH15" i="20" s="1"/>
  <c r="Y15" i="20"/>
  <c r="AE15" i="20" s="1"/>
  <c r="AG15" i="20" s="1"/>
  <c r="X15" i="20"/>
  <c r="W15" i="20"/>
  <c r="V15" i="20"/>
  <c r="U15" i="20"/>
  <c r="T15" i="20"/>
  <c r="AB15" i="20" s="1"/>
  <c r="S15" i="20"/>
  <c r="AA15" i="20" s="1"/>
  <c r="L15" i="20"/>
  <c r="J15" i="20"/>
  <c r="I15" i="20"/>
  <c r="K15" i="20" s="1"/>
  <c r="AD14" i="20"/>
  <c r="AC14" i="20"/>
  <c r="Z14" i="20"/>
  <c r="AF14" i="20" s="1"/>
  <c r="AH14" i="20" s="1"/>
  <c r="Y14" i="20"/>
  <c r="AE14" i="20" s="1"/>
  <c r="X14" i="20"/>
  <c r="W14" i="20"/>
  <c r="V14" i="20"/>
  <c r="U14" i="20"/>
  <c r="T14" i="20"/>
  <c r="AB14" i="20" s="1"/>
  <c r="S14" i="20"/>
  <c r="AA14" i="20" s="1"/>
  <c r="J14" i="20"/>
  <c r="L14" i="20" s="1"/>
  <c r="I14" i="20"/>
  <c r="K14" i="20" s="1"/>
  <c r="AD13" i="20"/>
  <c r="AC13" i="20"/>
  <c r="Z13" i="20"/>
  <c r="AF13" i="20" s="1"/>
  <c r="AH13" i="20" s="1"/>
  <c r="Y13" i="20"/>
  <c r="AE13" i="20" s="1"/>
  <c r="AG13" i="20" s="1"/>
  <c r="X13" i="20"/>
  <c r="W13" i="20"/>
  <c r="V13" i="20"/>
  <c r="U13" i="20"/>
  <c r="T13" i="20"/>
  <c r="AB13" i="20" s="1"/>
  <c r="S13" i="20"/>
  <c r="AA13" i="20" s="1"/>
  <c r="J13" i="20"/>
  <c r="L13" i="20" s="1"/>
  <c r="I13" i="20"/>
  <c r="K13" i="20" s="1"/>
  <c r="AD12" i="20"/>
  <c r="AC12" i="20"/>
  <c r="Z12" i="20"/>
  <c r="AF12" i="20" s="1"/>
  <c r="AH12" i="20" s="1"/>
  <c r="Y12" i="20"/>
  <c r="AE12" i="20" s="1"/>
  <c r="AG12" i="20" s="1"/>
  <c r="X12" i="20"/>
  <c r="W12" i="20"/>
  <c r="V12" i="20"/>
  <c r="U12" i="20"/>
  <c r="T12" i="20"/>
  <c r="AB12" i="20" s="1"/>
  <c r="S12" i="20"/>
  <c r="AA12" i="20" s="1"/>
  <c r="J12" i="20"/>
  <c r="L12" i="20" s="1"/>
  <c r="I12" i="20"/>
  <c r="K12" i="20" s="1"/>
  <c r="AE11" i="20"/>
  <c r="AG11" i="20" s="1"/>
  <c r="AD11" i="20"/>
  <c r="AC11" i="20"/>
  <c r="Z11" i="20"/>
  <c r="AF11" i="20" s="1"/>
  <c r="AH11" i="20" s="1"/>
  <c r="Y11" i="20"/>
  <c r="X11" i="20"/>
  <c r="W11" i="20"/>
  <c r="V11" i="20"/>
  <c r="U11" i="20"/>
  <c r="T11" i="20"/>
  <c r="AB11" i="20" s="1"/>
  <c r="S11" i="20"/>
  <c r="AA11" i="20" s="1"/>
  <c r="J11" i="20"/>
  <c r="L11" i="20" s="1"/>
  <c r="I11" i="20"/>
  <c r="K11" i="20" s="1"/>
  <c r="AC10" i="20"/>
  <c r="Y10" i="20"/>
  <c r="AE10" i="20" s="1"/>
  <c r="W10" i="20"/>
  <c r="U10" i="20"/>
  <c r="S10" i="20"/>
  <c r="AA10" i="20" s="1"/>
  <c r="I10" i="20"/>
  <c r="K10" i="20" s="1"/>
  <c r="AI10" i="20" s="1"/>
  <c r="AF9" i="20"/>
  <c r="AH9" i="20" s="1"/>
  <c r="AD9" i="20"/>
  <c r="Z9" i="20"/>
  <c r="X9" i="20"/>
  <c r="V9" i="20"/>
  <c r="T9" i="20"/>
  <c r="AB9" i="20" s="1"/>
  <c r="J9" i="20"/>
  <c r="L9" i="20" s="1"/>
  <c r="AJ9" i="20" s="1"/>
  <c r="AF8" i="20"/>
  <c r="AH8" i="20" s="1"/>
  <c r="AE8" i="20"/>
  <c r="AG8" i="20" s="1"/>
  <c r="AD8" i="20"/>
  <c r="AC8" i="20"/>
  <c r="Z8" i="20"/>
  <c r="Y8" i="20"/>
  <c r="X8" i="20"/>
  <c r="W8" i="20"/>
  <c r="V8" i="20"/>
  <c r="U8" i="20"/>
  <c r="T8" i="20"/>
  <c r="AB8" i="20" s="1"/>
  <c r="S8" i="20"/>
  <c r="AA8" i="20" s="1"/>
  <c r="J8" i="20"/>
  <c r="L8" i="20" s="1"/>
  <c r="I8" i="20"/>
  <c r="K8" i="20" s="1"/>
  <c r="AI8" i="20" s="1"/>
  <c r="AF7" i="20"/>
  <c r="AH7" i="20" s="1"/>
  <c r="AD7" i="20"/>
  <c r="AC7" i="20"/>
  <c r="Z7" i="20"/>
  <c r="Y7" i="20"/>
  <c r="AE7" i="20" s="1"/>
  <c r="AG7" i="20" s="1"/>
  <c r="X7" i="20"/>
  <c r="W7" i="20"/>
  <c r="V7" i="20"/>
  <c r="U7" i="20"/>
  <c r="T7" i="20"/>
  <c r="AB7" i="20" s="1"/>
  <c r="S7" i="20"/>
  <c r="AA7" i="20" s="1"/>
  <c r="J7" i="20"/>
  <c r="L7" i="20" s="1"/>
  <c r="I7" i="20"/>
  <c r="K7" i="20" s="1"/>
  <c r="AD6" i="20"/>
  <c r="AC6" i="20"/>
  <c r="AB6" i="20"/>
  <c r="Z6" i="20"/>
  <c r="AF6" i="20" s="1"/>
  <c r="AH6" i="20" s="1"/>
  <c r="Y6" i="20"/>
  <c r="AE6" i="20" s="1"/>
  <c r="AG6" i="20" s="1"/>
  <c r="X6" i="20"/>
  <c r="W6" i="20"/>
  <c r="V6" i="20"/>
  <c r="U6" i="20"/>
  <c r="T6" i="20"/>
  <c r="S6" i="20"/>
  <c r="AA6" i="20" s="1"/>
  <c r="J6" i="20"/>
  <c r="L6" i="20" s="1"/>
  <c r="AJ6" i="20" s="1"/>
  <c r="I6" i="20"/>
  <c r="K6" i="20" s="1"/>
  <c r="AD5" i="20"/>
  <c r="AC5" i="20"/>
  <c r="AB5" i="20"/>
  <c r="Z5" i="20"/>
  <c r="AF5" i="20" s="1"/>
  <c r="AH5" i="20" s="1"/>
  <c r="Y5" i="20"/>
  <c r="AE5" i="20" s="1"/>
  <c r="AG5" i="20" s="1"/>
  <c r="X5" i="20"/>
  <c r="W5" i="20"/>
  <c r="V5" i="20"/>
  <c r="U5" i="20"/>
  <c r="T5" i="20"/>
  <c r="S5" i="20"/>
  <c r="AA5" i="20" s="1"/>
  <c r="J5" i="20"/>
  <c r="L5" i="20" s="1"/>
  <c r="AJ5" i="20" s="1"/>
  <c r="I5" i="20"/>
  <c r="K5" i="20" s="1"/>
  <c r="AI5" i="20" s="1"/>
  <c r="AD4" i="20"/>
  <c r="AC4" i="20"/>
  <c r="AA4" i="20"/>
  <c r="Z4" i="20"/>
  <c r="AF4" i="20" s="1"/>
  <c r="AH4" i="20" s="1"/>
  <c r="Y4" i="20"/>
  <c r="AE4" i="20" s="1"/>
  <c r="AG4" i="20" s="1"/>
  <c r="X4" i="20"/>
  <c r="W4" i="20"/>
  <c r="V4" i="20"/>
  <c r="U4" i="20"/>
  <c r="T4" i="20"/>
  <c r="AB4" i="20" s="1"/>
  <c r="S4" i="20"/>
  <c r="J4" i="20"/>
  <c r="L4" i="20" s="1"/>
  <c r="I4" i="20"/>
  <c r="K4" i="20" s="1"/>
  <c r="AD3" i="20"/>
  <c r="AC3" i="20"/>
  <c r="Z3" i="20"/>
  <c r="AF3" i="20" s="1"/>
  <c r="AH3" i="20" s="1"/>
  <c r="Y3" i="20"/>
  <c r="AE3" i="20" s="1"/>
  <c r="AG3" i="20" s="1"/>
  <c r="X3" i="20"/>
  <c r="W3" i="20"/>
  <c r="V3" i="20"/>
  <c r="U3" i="20"/>
  <c r="T3" i="20"/>
  <c r="AB3" i="20" s="1"/>
  <c r="S3" i="20"/>
  <c r="AA3" i="20" s="1"/>
  <c r="J3" i="20"/>
  <c r="L3" i="20" s="1"/>
  <c r="I3" i="20"/>
  <c r="K3" i="20" s="1"/>
  <c r="AC2" i="20"/>
  <c r="Y2" i="20"/>
  <c r="AE2" i="20" s="1"/>
  <c r="AG2" i="20" s="1"/>
  <c r="W2" i="20"/>
  <c r="U2" i="20"/>
  <c r="S2" i="20"/>
  <c r="AA2" i="20" s="1"/>
  <c r="I2" i="20"/>
  <c r="K2" i="20" s="1"/>
  <c r="J40" i="19"/>
  <c r="K40" i="19"/>
  <c r="L40" i="19"/>
  <c r="M40" i="19"/>
  <c r="I40" i="19"/>
  <c r="M18" i="19"/>
  <c r="M19" i="19"/>
  <c r="M38" i="19"/>
  <c r="M39" i="19"/>
  <c r="L39" i="19"/>
  <c r="K39" i="19"/>
  <c r="J39" i="19"/>
  <c r="I39" i="19"/>
  <c r="L38" i="19"/>
  <c r="K38" i="19"/>
  <c r="J38" i="19"/>
  <c r="I38" i="19"/>
  <c r="J19" i="19"/>
  <c r="K19" i="19"/>
  <c r="L19" i="19"/>
  <c r="I19" i="19"/>
  <c r="J18" i="19"/>
  <c r="K18" i="19"/>
  <c r="L18" i="19"/>
  <c r="I18" i="19"/>
  <c r="C30" i="19"/>
  <c r="C31" i="19"/>
  <c r="D30" i="19"/>
  <c r="B30" i="19"/>
  <c r="B31" i="19"/>
  <c r="E31" i="19"/>
  <c r="E30" i="19"/>
  <c r="H44" i="10"/>
  <c r="D41" i="6"/>
  <c r="D40" i="6"/>
  <c r="D39" i="6"/>
  <c r="D19" i="6"/>
  <c r="D18" i="6"/>
  <c r="D38" i="5"/>
  <c r="D37" i="5"/>
  <c r="D36" i="5"/>
  <c r="D35" i="5"/>
  <c r="D34" i="5"/>
  <c r="D33" i="5"/>
  <c r="D32" i="5"/>
  <c r="D31" i="5"/>
  <c r="D30" i="5"/>
  <c r="D29" i="5"/>
  <c r="D28" i="5"/>
  <c r="D40" i="5" s="1"/>
  <c r="D27" i="5"/>
  <c r="D26" i="5"/>
  <c r="D25" i="5"/>
  <c r="D24" i="5"/>
  <c r="D18" i="5"/>
  <c r="D19" i="5"/>
  <c r="D4" i="5"/>
  <c r="D5" i="5"/>
  <c r="D6" i="5"/>
  <c r="D7" i="5"/>
  <c r="D8" i="5"/>
  <c r="D9" i="5"/>
  <c r="D10" i="5"/>
  <c r="D11" i="5"/>
  <c r="D12" i="5"/>
  <c r="D13" i="5"/>
  <c r="D14" i="5"/>
  <c r="D15" i="5"/>
  <c r="D16" i="5"/>
  <c r="D17" i="5"/>
  <c r="D3" i="5"/>
  <c r="C41" i="5"/>
  <c r="H39" i="18"/>
  <c r="Y30" i="18"/>
  <c r="Y29" i="18"/>
  <c r="Y27" i="18"/>
  <c r="Y26" i="18"/>
  <c r="Y23" i="18"/>
  <c r="Y21" i="18"/>
  <c r="Y20" i="18"/>
  <c r="Y19" i="18"/>
  <c r="Y18" i="18"/>
  <c r="Y17" i="18"/>
  <c r="Y14" i="18"/>
  <c r="Y13" i="18"/>
  <c r="Y11" i="18"/>
  <c r="Y10" i="18"/>
  <c r="Y9" i="18"/>
  <c r="Y8" i="18"/>
  <c r="Y7" i="18"/>
  <c r="Y6" i="18"/>
  <c r="Y5" i="18"/>
  <c r="Y3" i="18"/>
  <c r="Y2" i="18"/>
  <c r="X3" i="18"/>
  <c r="X5" i="18"/>
  <c r="X6" i="18"/>
  <c r="X7" i="18"/>
  <c r="X8" i="18"/>
  <c r="X9" i="18"/>
  <c r="X10" i="18"/>
  <c r="X11" i="18"/>
  <c r="X13" i="18"/>
  <c r="X14" i="18"/>
  <c r="X17" i="18"/>
  <c r="X18" i="18"/>
  <c r="X19" i="18"/>
  <c r="X20" i="18"/>
  <c r="X21" i="18"/>
  <c r="X23" i="18"/>
  <c r="X26" i="18"/>
  <c r="X27" i="18"/>
  <c r="X29" i="18"/>
  <c r="X30" i="18"/>
  <c r="X2" i="18"/>
  <c r="AB3" i="18"/>
  <c r="AB6" i="18"/>
  <c r="AB7" i="18"/>
  <c r="AB8" i="18"/>
  <c r="AB9" i="18"/>
  <c r="AB10" i="18"/>
  <c r="AB11" i="18"/>
  <c r="AB12" i="18"/>
  <c r="AB13" i="18"/>
  <c r="AB14" i="18"/>
  <c r="AB15" i="18"/>
  <c r="AB16" i="18"/>
  <c r="AB17" i="18"/>
  <c r="AB18" i="18"/>
  <c r="AB19" i="18"/>
  <c r="AB20" i="18"/>
  <c r="AB21" i="18"/>
  <c r="AB23" i="18"/>
  <c r="AB24" i="18"/>
  <c r="AB25" i="18"/>
  <c r="AB26" i="18"/>
  <c r="AB27" i="18"/>
  <c r="AB28" i="18"/>
  <c r="AB29" i="18"/>
  <c r="AB30" i="18"/>
  <c r="AB31" i="18"/>
  <c r="AB2" i="18"/>
  <c r="AB37" i="18" l="1"/>
  <c r="AB36" i="18"/>
  <c r="AB35" i="18"/>
  <c r="AB34" i="18"/>
  <c r="AJ18" i="20"/>
  <c r="AJ12" i="20"/>
  <c r="AJ8" i="20"/>
  <c r="AJ23" i="20"/>
  <c r="AJ7" i="20"/>
  <c r="AI22" i="20"/>
  <c r="AI4" i="20"/>
  <c r="AI20" i="20"/>
  <c r="AI21" i="20"/>
  <c r="AI11" i="20"/>
  <c r="AJ4" i="20"/>
  <c r="AI17" i="20"/>
  <c r="AJ19" i="20"/>
  <c r="AJ21" i="20"/>
  <c r="AJ31" i="20"/>
  <c r="AI3" i="20"/>
  <c r="AJ17" i="20"/>
  <c r="AJ26" i="20"/>
  <c r="AJ3" i="20"/>
  <c r="AI15" i="20"/>
  <c r="AI29" i="20"/>
  <c r="AI12" i="20"/>
  <c r="AJ15" i="20"/>
  <c r="AJ14" i="20"/>
  <c r="AJ28" i="20"/>
  <c r="AI2" i="20"/>
  <c r="AI13" i="20"/>
  <c r="AI23" i="20"/>
  <c r="AG23" i="20"/>
  <c r="AJ13" i="20"/>
  <c r="AI26" i="20"/>
  <c r="AG26" i="20"/>
  <c r="AJ11" i="20"/>
  <c r="AI7" i="20"/>
  <c r="AI14" i="20"/>
  <c r="AG14" i="20"/>
  <c r="AJ22" i="20"/>
  <c r="AI27" i="20"/>
  <c r="AI28" i="20"/>
  <c r="AG28" i="20"/>
  <c r="AI6" i="20"/>
  <c r="D31" i="19"/>
  <c r="D39" i="5"/>
  <c r="O41" i="18"/>
  <c r="M41" i="18"/>
  <c r="K41" i="18"/>
  <c r="I41" i="18"/>
  <c r="G41" i="18"/>
  <c r="E41" i="18"/>
  <c r="O40" i="18"/>
  <c r="N40" i="18"/>
  <c r="M40" i="18"/>
  <c r="L40" i="18"/>
  <c r="K40" i="18"/>
  <c r="J40" i="18"/>
  <c r="I40" i="18"/>
  <c r="H40" i="18"/>
  <c r="G40" i="18"/>
  <c r="F40" i="18"/>
  <c r="E40" i="18"/>
  <c r="D40" i="18"/>
  <c r="B40" i="18"/>
  <c r="O39" i="18"/>
  <c r="N39" i="18"/>
  <c r="M39" i="18"/>
  <c r="L39" i="18"/>
  <c r="K39" i="18"/>
  <c r="J39" i="18"/>
  <c r="I39" i="18"/>
  <c r="G39" i="18"/>
  <c r="F39" i="18"/>
  <c r="E39" i="18"/>
  <c r="D39" i="18"/>
  <c r="B39" i="18"/>
  <c r="O20" i="18"/>
  <c r="M20" i="18"/>
  <c r="K20" i="18"/>
  <c r="I20" i="18"/>
  <c r="G20" i="18"/>
  <c r="E20" i="18"/>
  <c r="O19" i="18"/>
  <c r="N19" i="18"/>
  <c r="M19" i="18"/>
  <c r="L19" i="18"/>
  <c r="K19" i="18"/>
  <c r="J19" i="18"/>
  <c r="I19" i="18"/>
  <c r="H19" i="18"/>
  <c r="G19" i="18"/>
  <c r="F19" i="18"/>
  <c r="E19" i="18"/>
  <c r="D19" i="18"/>
  <c r="B19" i="18"/>
  <c r="O18" i="18"/>
  <c r="N18" i="18"/>
  <c r="M18" i="18"/>
  <c r="L18" i="18"/>
  <c r="K18" i="18"/>
  <c r="J18" i="18"/>
  <c r="I18" i="18"/>
  <c r="H18" i="18"/>
  <c r="G18" i="18"/>
  <c r="F18" i="18"/>
  <c r="E18" i="18"/>
  <c r="D18" i="18"/>
  <c r="B18" i="18"/>
  <c r="L34" i="17"/>
  <c r="M34" i="17"/>
  <c r="L31" i="17"/>
  <c r="M31" i="17"/>
  <c r="L32" i="17"/>
  <c r="M32" i="17"/>
  <c r="L36" i="17"/>
  <c r="M36" i="17"/>
  <c r="L37" i="17"/>
  <c r="M37" i="17"/>
  <c r="L38" i="17"/>
  <c r="M38" i="17"/>
  <c r="M30" i="17"/>
  <c r="L30" i="17"/>
  <c r="M28" i="17"/>
  <c r="L28" i="17"/>
  <c r="M26" i="17"/>
  <c r="L26" i="17"/>
  <c r="M24" i="17"/>
  <c r="L24" i="17"/>
  <c r="L4" i="17"/>
  <c r="M4" i="17"/>
  <c r="L18" i="17"/>
  <c r="L6" i="17"/>
  <c r="M6" i="17"/>
  <c r="L7" i="17"/>
  <c r="M7" i="17"/>
  <c r="L8" i="17"/>
  <c r="M8" i="17"/>
  <c r="L9" i="17"/>
  <c r="M9" i="17"/>
  <c r="L13" i="17"/>
  <c r="M13" i="17"/>
  <c r="L14" i="17"/>
  <c r="M14" i="17"/>
  <c r="L15" i="17"/>
  <c r="M15" i="17"/>
  <c r="L16" i="17"/>
  <c r="M16" i="17"/>
  <c r="L17" i="17"/>
  <c r="M17" i="17"/>
  <c r="M3" i="17"/>
  <c r="L3" i="17"/>
  <c r="E20" i="17"/>
  <c r="E19" i="17"/>
  <c r="E18" i="17"/>
  <c r="D19" i="17"/>
  <c r="D18" i="17"/>
  <c r="K19" i="17"/>
  <c r="J19" i="17"/>
  <c r="I19" i="17"/>
  <c r="H19" i="17"/>
  <c r="G19" i="17"/>
  <c r="F19" i="17"/>
  <c r="B19" i="17"/>
  <c r="K18" i="17"/>
  <c r="J18" i="17"/>
  <c r="I18" i="17"/>
  <c r="H18" i="17"/>
  <c r="G18" i="17"/>
  <c r="F18" i="17"/>
  <c r="B18" i="17"/>
  <c r="I20" i="17"/>
  <c r="K20" i="17"/>
  <c r="H39" i="17"/>
  <c r="I39" i="17"/>
  <c r="J39" i="17"/>
  <c r="K39" i="17"/>
  <c r="H40" i="17"/>
  <c r="I40" i="17"/>
  <c r="J40" i="17"/>
  <c r="K40" i="17"/>
  <c r="H41" i="17"/>
  <c r="I41" i="17"/>
  <c r="J41" i="17"/>
  <c r="K41" i="17"/>
  <c r="I42" i="17"/>
  <c r="K42" i="17"/>
  <c r="G42" i="17"/>
  <c r="E42" i="17"/>
  <c r="G41" i="17"/>
  <c r="F41" i="17"/>
  <c r="E41" i="17"/>
  <c r="D41" i="17"/>
  <c r="B41" i="17"/>
  <c r="G40" i="17"/>
  <c r="F40" i="17"/>
  <c r="E40" i="17"/>
  <c r="D40" i="17"/>
  <c r="B40" i="17"/>
  <c r="G39" i="17"/>
  <c r="F39" i="17"/>
  <c r="E39" i="17"/>
  <c r="D39" i="17"/>
  <c r="B39" i="17"/>
  <c r="G20" i="17"/>
  <c r="K40" i="16"/>
  <c r="I40" i="16"/>
  <c r="G40" i="16"/>
  <c r="E40" i="16"/>
  <c r="K19" i="16"/>
  <c r="I19" i="16"/>
  <c r="G19" i="16"/>
  <c r="E19" i="16"/>
  <c r="D38" i="16"/>
  <c r="K39" i="16"/>
  <c r="J39" i="16"/>
  <c r="I39" i="16"/>
  <c r="H39" i="16"/>
  <c r="G39" i="16"/>
  <c r="F39" i="16"/>
  <c r="E39" i="16"/>
  <c r="D39" i="16"/>
  <c r="B39" i="16"/>
  <c r="K38" i="16"/>
  <c r="J38" i="16"/>
  <c r="I38" i="16"/>
  <c r="H38" i="16"/>
  <c r="G38" i="16"/>
  <c r="F38" i="16"/>
  <c r="E38" i="16"/>
  <c r="B38" i="16"/>
  <c r="D17" i="16"/>
  <c r="E17" i="16"/>
  <c r="F17" i="16"/>
  <c r="G17" i="16"/>
  <c r="H17" i="16"/>
  <c r="I17" i="16"/>
  <c r="J17" i="16"/>
  <c r="K17" i="16"/>
  <c r="D18" i="16"/>
  <c r="E18" i="16"/>
  <c r="F18" i="16"/>
  <c r="G18" i="16"/>
  <c r="H18" i="16"/>
  <c r="I18" i="16"/>
  <c r="J18" i="16"/>
  <c r="K18" i="16"/>
  <c r="B18" i="16"/>
  <c r="B17" i="16"/>
  <c r="L26" i="12"/>
  <c r="M26" i="12"/>
  <c r="L28" i="12"/>
  <c r="M28" i="12"/>
  <c r="L30" i="12"/>
  <c r="M30" i="12"/>
  <c r="L31" i="12"/>
  <c r="M31" i="12"/>
  <c r="M39" i="12" s="1"/>
  <c r="L32" i="12"/>
  <c r="M32" i="12"/>
  <c r="L34" i="12"/>
  <c r="M34" i="12"/>
  <c r="L36" i="12"/>
  <c r="M36" i="12"/>
  <c r="L37" i="12"/>
  <c r="M37" i="12"/>
  <c r="L38" i="12"/>
  <c r="M38" i="12"/>
  <c r="M25" i="12"/>
  <c r="L25" i="12"/>
  <c r="M24" i="12"/>
  <c r="L24" i="12"/>
  <c r="L7" i="12"/>
  <c r="M7" i="12"/>
  <c r="L8" i="12"/>
  <c r="M8" i="12"/>
  <c r="L9" i="12"/>
  <c r="M9" i="12"/>
  <c r="L11" i="12"/>
  <c r="M11" i="12"/>
  <c r="L12" i="12"/>
  <c r="M12" i="12"/>
  <c r="L13" i="12"/>
  <c r="M13" i="12"/>
  <c r="L14" i="12"/>
  <c r="M14" i="12"/>
  <c r="L15" i="12"/>
  <c r="M15" i="12"/>
  <c r="L16" i="12"/>
  <c r="M16" i="12"/>
  <c r="L17" i="12"/>
  <c r="M17" i="12"/>
  <c r="M6" i="12"/>
  <c r="L6" i="12"/>
  <c r="L4" i="12"/>
  <c r="M4" i="12"/>
  <c r="M3" i="12"/>
  <c r="L3" i="12"/>
  <c r="M33" i="8"/>
  <c r="L40" i="17" l="1"/>
  <c r="M40" i="17"/>
  <c r="M42" i="17"/>
  <c r="M39" i="17"/>
  <c r="L39" i="17"/>
  <c r="L41" i="17"/>
  <c r="L19" i="17"/>
  <c r="M19" i="17"/>
  <c r="M18" i="17"/>
  <c r="M41" i="17"/>
  <c r="M20" i="17"/>
  <c r="M40" i="12"/>
  <c r="M42" i="12"/>
  <c r="M18" i="12"/>
  <c r="M20" i="12"/>
  <c r="M19" i="12"/>
  <c r="M41" i="12"/>
  <c r="L19" i="12"/>
  <c r="L18" i="12"/>
  <c r="L39" i="12"/>
  <c r="L41" i="12"/>
  <c r="L40" i="12"/>
  <c r="N31" i="12"/>
  <c r="O31" i="12"/>
  <c r="O17" i="12"/>
  <c r="G42" i="12"/>
  <c r="E42" i="12"/>
  <c r="K20" i="12"/>
  <c r="I20" i="12"/>
  <c r="G20" i="12"/>
  <c r="E20" i="12"/>
  <c r="N17" i="12"/>
  <c r="O9" i="12"/>
  <c r="N9" i="12"/>
  <c r="O16" i="12"/>
  <c r="N16" i="12"/>
  <c r="O30" i="12"/>
  <c r="N30" i="12"/>
  <c r="N25" i="12"/>
  <c r="O25" i="12"/>
  <c r="N26" i="12"/>
  <c r="O26" i="12"/>
  <c r="N28" i="12"/>
  <c r="O28" i="12"/>
  <c r="N32" i="12"/>
  <c r="O32" i="12"/>
  <c r="N34" i="12"/>
  <c r="O34" i="12"/>
  <c r="N36" i="12"/>
  <c r="O36" i="12"/>
  <c r="N37" i="12"/>
  <c r="O37" i="12"/>
  <c r="N38" i="12"/>
  <c r="O38" i="12"/>
  <c r="O24" i="12"/>
  <c r="N24" i="12"/>
  <c r="O4" i="12"/>
  <c r="O6" i="12"/>
  <c r="O7" i="12"/>
  <c r="O8" i="12"/>
  <c r="O11" i="12"/>
  <c r="O12" i="12"/>
  <c r="O13" i="12"/>
  <c r="O14" i="12"/>
  <c r="O15" i="12"/>
  <c r="O3" i="12"/>
  <c r="N4" i="12"/>
  <c r="N6" i="12"/>
  <c r="N7" i="12"/>
  <c r="N8" i="12"/>
  <c r="N11" i="12"/>
  <c r="N12" i="12"/>
  <c r="N13" i="12"/>
  <c r="N14" i="12"/>
  <c r="N15" i="12"/>
  <c r="N3" i="12"/>
  <c r="K42" i="12"/>
  <c r="I42" i="12"/>
  <c r="K41" i="12"/>
  <c r="J41" i="12"/>
  <c r="I41" i="12"/>
  <c r="H41" i="12"/>
  <c r="K40" i="12"/>
  <c r="J40" i="12"/>
  <c r="I40" i="12"/>
  <c r="H40" i="12"/>
  <c r="K39" i="12"/>
  <c r="J39" i="12"/>
  <c r="I39" i="12"/>
  <c r="H39" i="12"/>
  <c r="K19" i="12"/>
  <c r="J19" i="12"/>
  <c r="I19" i="12"/>
  <c r="H19" i="12"/>
  <c r="K18" i="12"/>
  <c r="J18" i="12"/>
  <c r="I18" i="12"/>
  <c r="H18" i="12"/>
  <c r="B41" i="12"/>
  <c r="B40" i="12"/>
  <c r="B39" i="12"/>
  <c r="E39" i="12"/>
  <c r="D39" i="12"/>
  <c r="G40" i="12"/>
  <c r="F40" i="12"/>
  <c r="E40" i="12"/>
  <c r="D40" i="12"/>
  <c r="B19" i="12"/>
  <c r="B18" i="12"/>
  <c r="E19" i="12"/>
  <c r="G19" i="12"/>
  <c r="F41" i="12"/>
  <c r="E41" i="12"/>
  <c r="D41" i="12"/>
  <c r="E21" i="10"/>
  <c r="H21" i="10"/>
  <c r="P36" i="4"/>
  <c r="I33" i="7"/>
  <c r="I19" i="7"/>
  <c r="I18" i="7"/>
  <c r="I17" i="7"/>
  <c r="I26" i="10"/>
  <c r="I27" i="10"/>
  <c r="I28" i="10"/>
  <c r="I29" i="10"/>
  <c r="I31" i="10"/>
  <c r="I32" i="10"/>
  <c r="I33" i="10"/>
  <c r="I34" i="10"/>
  <c r="I35" i="10"/>
  <c r="I37" i="10"/>
  <c r="I38" i="10"/>
  <c r="I39" i="10"/>
  <c r="I25" i="10"/>
  <c r="I41" i="10" s="1"/>
  <c r="I6" i="10"/>
  <c r="I7" i="10"/>
  <c r="I8" i="10"/>
  <c r="I9" i="10"/>
  <c r="I10" i="10"/>
  <c r="I11" i="10"/>
  <c r="I12" i="10"/>
  <c r="I13" i="10"/>
  <c r="I14" i="10"/>
  <c r="I15" i="10"/>
  <c r="I16" i="10"/>
  <c r="I17" i="10"/>
  <c r="I4" i="10"/>
  <c r="I42" i="10" s="1"/>
  <c r="H43" i="10"/>
  <c r="I19" i="10"/>
  <c r="I16" i="9"/>
  <c r="K16" i="9"/>
  <c r="M16" i="9"/>
  <c r="H17" i="9"/>
  <c r="I17" i="9"/>
  <c r="M17" i="9" s="1"/>
  <c r="J17" i="9"/>
  <c r="K17" i="9"/>
  <c r="L17" i="9"/>
  <c r="F16" i="9"/>
  <c r="J16" i="9" s="1"/>
  <c r="D16" i="9"/>
  <c r="H16" i="9" s="1"/>
  <c r="L16" i="9" s="1"/>
  <c r="O42" i="12" l="1"/>
  <c r="N40" i="12"/>
  <c r="O40" i="12"/>
  <c r="N39" i="12"/>
  <c r="O39" i="12"/>
  <c r="N19" i="12"/>
  <c r="O20" i="12"/>
  <c r="N18" i="12"/>
  <c r="N41" i="12"/>
  <c r="O41" i="12"/>
  <c r="O18" i="12"/>
  <c r="O19" i="12"/>
  <c r="F19" i="12"/>
  <c r="D19" i="12"/>
  <c r="D18" i="12"/>
  <c r="G18" i="12"/>
  <c r="G41" i="12"/>
  <c r="F18" i="12"/>
  <c r="G39" i="12"/>
  <c r="E18" i="12"/>
  <c r="F39" i="12"/>
  <c r="I18" i="10"/>
  <c r="I40" i="10"/>
  <c r="J31" i="4"/>
  <c r="K31" i="4"/>
  <c r="H31" i="9"/>
  <c r="I31" i="9"/>
  <c r="J31" i="9"/>
  <c r="K31" i="9"/>
  <c r="F27" i="10"/>
  <c r="F26" i="10"/>
  <c r="F25" i="10"/>
  <c r="F39" i="10"/>
  <c r="F38" i="10"/>
  <c r="F35" i="10"/>
  <c r="F34" i="10"/>
  <c r="F33" i="10"/>
  <c r="F32" i="10"/>
  <c r="F31" i="10"/>
  <c r="F29" i="10"/>
  <c r="F28" i="10"/>
  <c r="F4" i="10"/>
  <c r="F6" i="10"/>
  <c r="F7" i="10"/>
  <c r="F8" i="10"/>
  <c r="F9" i="10"/>
  <c r="F10" i="10"/>
  <c r="F11" i="10"/>
  <c r="F12" i="10"/>
  <c r="F13" i="10"/>
  <c r="F14" i="10"/>
  <c r="F15" i="10"/>
  <c r="F16" i="10"/>
  <c r="F17"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2" i="10"/>
  <c r="F42" i="10" l="1"/>
  <c r="F40" i="10"/>
  <c r="F18" i="10"/>
  <c r="F19" i="10"/>
  <c r="F41" i="10"/>
  <c r="V29" i="14" l="1"/>
  <c r="V40" i="14"/>
  <c r="V38" i="14"/>
  <c r="V37" i="14"/>
  <c r="V36" i="14"/>
  <c r="V35" i="14"/>
  <c r="V34" i="14"/>
  <c r="V33" i="14"/>
  <c r="V31" i="14"/>
  <c r="V30" i="14"/>
  <c r="V28" i="14"/>
  <c r="V27" i="14"/>
  <c r="V20" i="14"/>
  <c r="V19" i="14"/>
  <c r="V18" i="14"/>
  <c r="V17" i="14"/>
  <c r="V16" i="14"/>
  <c r="V15" i="14"/>
  <c r="V14" i="14"/>
  <c r="V13" i="14"/>
  <c r="V12" i="14"/>
  <c r="V11" i="14"/>
  <c r="V10" i="14"/>
  <c r="V9" i="14"/>
  <c r="V7" i="14"/>
  <c r="V6" i="14"/>
  <c r="G40" i="14"/>
  <c r="K40" i="14" s="1"/>
  <c r="G37" i="14"/>
  <c r="K37" i="14" s="1"/>
  <c r="G36" i="14"/>
  <c r="K36" i="14" s="1"/>
  <c r="G35" i="14"/>
  <c r="K35" i="14" s="1"/>
  <c r="G34" i="14"/>
  <c r="K34" i="14" s="1"/>
  <c r="G30" i="14"/>
  <c r="K30" i="14" s="1"/>
  <c r="G29" i="14"/>
  <c r="K29" i="14" s="1"/>
  <c r="G18" i="14"/>
  <c r="K18" i="14" s="1"/>
  <c r="G13" i="14"/>
  <c r="K13" i="14" s="1"/>
  <c r="G7" i="14"/>
  <c r="K7" i="14" s="1"/>
  <c r="Q40" i="14"/>
  <c r="Q38" i="14"/>
  <c r="Q27" i="14"/>
  <c r="Q28" i="14"/>
  <c r="Q29" i="14"/>
  <c r="Q30" i="14"/>
  <c r="Q31" i="14"/>
  <c r="Q33" i="14"/>
  <c r="Q34" i="14"/>
  <c r="Q35" i="14"/>
  <c r="Q36" i="14"/>
  <c r="Q37" i="14"/>
  <c r="Q7" i="14"/>
  <c r="Q9" i="14"/>
  <c r="Q10" i="14"/>
  <c r="Q11" i="14"/>
  <c r="Q12" i="14"/>
  <c r="Q13" i="14"/>
  <c r="Q14" i="14"/>
  <c r="Q15" i="14"/>
  <c r="Q16" i="14"/>
  <c r="Q17" i="14"/>
  <c r="Q18" i="14"/>
  <c r="Q19" i="14"/>
  <c r="Q20" i="14"/>
  <c r="Q6" i="14"/>
  <c r="G28" i="14"/>
  <c r="K28" i="14" s="1"/>
  <c r="G31" i="14"/>
  <c r="K31" i="14" s="1"/>
  <c r="G33" i="14"/>
  <c r="K33" i="14" s="1"/>
  <c r="G38" i="14"/>
  <c r="K38" i="14" s="1"/>
  <c r="G27" i="14"/>
  <c r="G9" i="14"/>
  <c r="K9" i="14" s="1"/>
  <c r="G10" i="14"/>
  <c r="K10" i="14" s="1"/>
  <c r="G11" i="14"/>
  <c r="G12" i="14"/>
  <c r="K12" i="14" s="1"/>
  <c r="G14" i="14"/>
  <c r="K14" i="14" s="1"/>
  <c r="G15" i="14"/>
  <c r="K15" i="14" s="1"/>
  <c r="G16" i="14"/>
  <c r="G17" i="14"/>
  <c r="K17" i="14" s="1"/>
  <c r="G19" i="14"/>
  <c r="K19" i="14" s="1"/>
  <c r="G20" i="14"/>
  <c r="K20" i="14" s="1"/>
  <c r="I40" i="14"/>
  <c r="H40" i="14"/>
  <c r="I38" i="14"/>
  <c r="H38" i="14"/>
  <c r="I37" i="14"/>
  <c r="H37" i="14"/>
  <c r="I36" i="14"/>
  <c r="H36" i="14"/>
  <c r="I35" i="14"/>
  <c r="H35" i="14"/>
  <c r="I34" i="14"/>
  <c r="H34" i="14"/>
  <c r="I33" i="14"/>
  <c r="H33" i="14"/>
  <c r="I31" i="14"/>
  <c r="H31" i="14"/>
  <c r="I30" i="14"/>
  <c r="H30" i="14"/>
  <c r="I29" i="14"/>
  <c r="H29" i="14"/>
  <c r="I28" i="14"/>
  <c r="H28" i="14"/>
  <c r="I27" i="14"/>
  <c r="H27" i="14"/>
  <c r="I20" i="14"/>
  <c r="H20" i="14"/>
  <c r="I19" i="14"/>
  <c r="H19" i="14"/>
  <c r="I18" i="14"/>
  <c r="H18" i="14"/>
  <c r="I17" i="14"/>
  <c r="H17" i="14"/>
  <c r="K16" i="14"/>
  <c r="I16" i="14"/>
  <c r="H16" i="14"/>
  <c r="I15" i="14"/>
  <c r="H15" i="14"/>
  <c r="I14" i="14"/>
  <c r="H14" i="14"/>
  <c r="I13" i="14"/>
  <c r="H13" i="14"/>
  <c r="I12" i="14"/>
  <c r="H12" i="14"/>
  <c r="I11" i="14"/>
  <c r="H11" i="14"/>
  <c r="I10" i="14"/>
  <c r="H10" i="14"/>
  <c r="J9" i="14"/>
  <c r="I9" i="14"/>
  <c r="H9" i="14"/>
  <c r="I7" i="14"/>
  <c r="H7" i="14"/>
  <c r="I6" i="14"/>
  <c r="H6" i="14"/>
  <c r="E44" i="14"/>
  <c r="D44" i="14"/>
  <c r="E43" i="14"/>
  <c r="D43" i="14"/>
  <c r="E42" i="14"/>
  <c r="D42" i="14"/>
  <c r="E23" i="14"/>
  <c r="E22" i="14"/>
  <c r="D22" i="14"/>
  <c r="E21" i="14"/>
  <c r="D21" i="14"/>
  <c r="F7" i="14"/>
  <c r="J7" i="14" s="1"/>
  <c r="F9" i="14"/>
  <c r="F10" i="14"/>
  <c r="J10" i="14" s="1"/>
  <c r="F11" i="14"/>
  <c r="J11" i="14" s="1"/>
  <c r="F12" i="14"/>
  <c r="J12" i="14" s="1"/>
  <c r="F13" i="14"/>
  <c r="J13" i="14" s="1"/>
  <c r="F14" i="14"/>
  <c r="J14" i="14" s="1"/>
  <c r="F15" i="14"/>
  <c r="J15" i="14" s="1"/>
  <c r="F16" i="14"/>
  <c r="J16" i="14" s="1"/>
  <c r="F17" i="14"/>
  <c r="J17" i="14" s="1"/>
  <c r="F18" i="14"/>
  <c r="J18" i="14" s="1"/>
  <c r="F19" i="14"/>
  <c r="J19" i="14" s="1"/>
  <c r="F20" i="14"/>
  <c r="J20" i="14" s="1"/>
  <c r="F6" i="14"/>
  <c r="J6" i="14" s="1"/>
  <c r="F27" i="14"/>
  <c r="F28" i="14"/>
  <c r="J28" i="14" s="1"/>
  <c r="F29" i="14"/>
  <c r="J29" i="14" s="1"/>
  <c r="F30" i="14"/>
  <c r="J30" i="14" s="1"/>
  <c r="F31" i="14"/>
  <c r="J31" i="14" s="1"/>
  <c r="F33" i="14"/>
  <c r="J33" i="14" s="1"/>
  <c r="F34" i="14"/>
  <c r="J34" i="14" s="1"/>
  <c r="F36" i="14"/>
  <c r="J36" i="14" s="1"/>
  <c r="F37" i="14"/>
  <c r="J37" i="14" s="1"/>
  <c r="F38" i="14"/>
  <c r="J38" i="14" s="1"/>
  <c r="F40" i="14"/>
  <c r="J40" i="14" s="1"/>
  <c r="F35" i="14"/>
  <c r="J35" i="14" s="1"/>
  <c r="B43" i="14"/>
  <c r="B42" i="14"/>
  <c r="B22" i="14"/>
  <c r="B21" i="14"/>
  <c r="N19" i="4"/>
  <c r="N20" i="4"/>
  <c r="N21" i="4"/>
  <c r="N22" i="4"/>
  <c r="N24" i="4"/>
  <c r="N25" i="4"/>
  <c r="N26" i="4"/>
  <c r="N27" i="4"/>
  <c r="N28" i="4"/>
  <c r="N29" i="4"/>
  <c r="N30" i="4"/>
  <c r="N31" i="4"/>
  <c r="N32" i="4"/>
  <c r="N18" i="4"/>
  <c r="N4" i="4"/>
  <c r="N33" i="4" s="1"/>
  <c r="N6" i="4"/>
  <c r="N7" i="4"/>
  <c r="N8" i="4"/>
  <c r="N34" i="4" s="1"/>
  <c r="N9" i="4"/>
  <c r="N10" i="4"/>
  <c r="N11" i="4"/>
  <c r="N12" i="4"/>
  <c r="N13" i="4"/>
  <c r="N14" i="4"/>
  <c r="N15" i="4"/>
  <c r="N16" i="4"/>
  <c r="N17" i="4"/>
  <c r="N3" i="4"/>
  <c r="G19" i="10"/>
  <c r="B41" i="10"/>
  <c r="B40" i="10"/>
  <c r="B19" i="10"/>
  <c r="B18" i="10"/>
  <c r="L31" i="9"/>
  <c r="M31" i="9"/>
  <c r="B41" i="9"/>
  <c r="B40" i="9"/>
  <c r="B39" i="9"/>
  <c r="K38" i="9"/>
  <c r="J38" i="9"/>
  <c r="I38" i="9"/>
  <c r="H38" i="9"/>
  <c r="L38" i="9" s="1"/>
  <c r="K37" i="9"/>
  <c r="J37" i="9"/>
  <c r="I37" i="9"/>
  <c r="H37" i="9"/>
  <c r="K36" i="9"/>
  <c r="J36" i="9"/>
  <c r="I36" i="9"/>
  <c r="H36" i="9"/>
  <c r="K35" i="9"/>
  <c r="J35" i="9"/>
  <c r="I35" i="9"/>
  <c r="H35" i="9"/>
  <c r="K34" i="9"/>
  <c r="J34" i="9"/>
  <c r="I34" i="9"/>
  <c r="H34" i="9"/>
  <c r="L34" i="9" s="1"/>
  <c r="K33" i="9"/>
  <c r="J33" i="9"/>
  <c r="I33" i="9"/>
  <c r="H33" i="9"/>
  <c r="K30" i="9"/>
  <c r="J30" i="9"/>
  <c r="I30" i="9"/>
  <c r="M30" i="9" s="1"/>
  <c r="H30" i="9"/>
  <c r="K28" i="9"/>
  <c r="J28" i="9"/>
  <c r="I28" i="9"/>
  <c r="H28" i="9"/>
  <c r="K27" i="9"/>
  <c r="J27" i="9"/>
  <c r="I27" i="9"/>
  <c r="H27" i="9"/>
  <c r="K26" i="9"/>
  <c r="J26" i="9"/>
  <c r="I26" i="9"/>
  <c r="H26" i="9"/>
  <c r="K25" i="9"/>
  <c r="J25" i="9"/>
  <c r="I25" i="9"/>
  <c r="H25" i="9"/>
  <c r="K24" i="9"/>
  <c r="J24" i="9"/>
  <c r="I24" i="9"/>
  <c r="H24" i="9"/>
  <c r="L24" i="9" s="1"/>
  <c r="B19" i="9"/>
  <c r="B18" i="9"/>
  <c r="K15" i="9"/>
  <c r="J15" i="9"/>
  <c r="I15" i="9"/>
  <c r="M15" i="9" s="1"/>
  <c r="H15" i="9"/>
  <c r="K14" i="9"/>
  <c r="J14" i="9"/>
  <c r="I14" i="9"/>
  <c r="H14" i="9"/>
  <c r="L14" i="9" s="1"/>
  <c r="K12" i="9"/>
  <c r="J12" i="9"/>
  <c r="I12" i="9"/>
  <c r="M12" i="9" s="1"/>
  <c r="H12" i="9"/>
  <c r="K11" i="9"/>
  <c r="J11" i="9"/>
  <c r="I11" i="9"/>
  <c r="M11" i="9" s="1"/>
  <c r="H11" i="9"/>
  <c r="K10" i="9"/>
  <c r="J10" i="9"/>
  <c r="I10" i="9"/>
  <c r="H10" i="9"/>
  <c r="K9" i="9"/>
  <c r="J9" i="9"/>
  <c r="I9" i="9"/>
  <c r="M9" i="9" s="1"/>
  <c r="H9" i="9"/>
  <c r="K8" i="9"/>
  <c r="J8" i="9"/>
  <c r="I8" i="9"/>
  <c r="M8" i="9" s="1"/>
  <c r="H8" i="9"/>
  <c r="K7" i="9"/>
  <c r="J7" i="9"/>
  <c r="I7" i="9"/>
  <c r="H7" i="9"/>
  <c r="K6" i="9"/>
  <c r="J6" i="9"/>
  <c r="I6" i="9"/>
  <c r="H6" i="9"/>
  <c r="K4" i="9"/>
  <c r="J4" i="9"/>
  <c r="I4" i="9"/>
  <c r="M4" i="9" s="1"/>
  <c r="H4" i="9"/>
  <c r="K3" i="9"/>
  <c r="J3" i="9"/>
  <c r="I3" i="9"/>
  <c r="H3" i="9"/>
  <c r="O32" i="8"/>
  <c r="M32" i="8"/>
  <c r="K32" i="8"/>
  <c r="K30" i="8"/>
  <c r="L30" i="8"/>
  <c r="M30" i="8"/>
  <c r="N30" i="8"/>
  <c r="O30" i="8"/>
  <c r="K31" i="8"/>
  <c r="L31" i="8"/>
  <c r="M31" i="8"/>
  <c r="N31" i="8"/>
  <c r="O31" i="8"/>
  <c r="J31" i="8"/>
  <c r="J30" i="8"/>
  <c r="V42" i="14" l="1"/>
  <c r="L3" i="9"/>
  <c r="L28" i="9"/>
  <c r="L6" i="9"/>
  <c r="L10" i="9"/>
  <c r="M35" i="9"/>
  <c r="M33" i="9"/>
  <c r="M36" i="9"/>
  <c r="M26" i="9"/>
  <c r="M25" i="9"/>
  <c r="L15" i="9"/>
  <c r="M14" i="9"/>
  <c r="L11" i="9"/>
  <c r="L9" i="9"/>
  <c r="M10" i="9"/>
  <c r="L7" i="9"/>
  <c r="M7" i="9"/>
  <c r="M6" i="9"/>
  <c r="L4" i="9"/>
  <c r="M3" i="9"/>
  <c r="Q42" i="14"/>
  <c r="F42" i="14"/>
  <c r="J27" i="14"/>
  <c r="J42" i="14" s="1"/>
  <c r="F21" i="14"/>
  <c r="H44" i="14"/>
  <c r="F43" i="14"/>
  <c r="G6" i="14"/>
  <c r="G44" i="14" s="1"/>
  <c r="J22" i="14"/>
  <c r="J21" i="14"/>
  <c r="I45" i="14"/>
  <c r="F22" i="14"/>
  <c r="F44" i="14"/>
  <c r="I44" i="14"/>
  <c r="I23" i="14"/>
  <c r="I22" i="14"/>
  <c r="G43" i="14"/>
  <c r="K27" i="14"/>
  <c r="K43" i="14" s="1"/>
  <c r="G42" i="14"/>
  <c r="K11" i="14"/>
  <c r="H42" i="14"/>
  <c r="I42" i="14"/>
  <c r="I46" i="14" s="1"/>
  <c r="H43" i="14"/>
  <c r="I43" i="14"/>
  <c r="H21" i="14"/>
  <c r="I21" i="14"/>
  <c r="H22" i="14"/>
  <c r="L25" i="9"/>
  <c r="L30" i="9"/>
  <c r="L35" i="9"/>
  <c r="L26" i="9"/>
  <c r="L36" i="9"/>
  <c r="L33" i="9"/>
  <c r="L37" i="9"/>
  <c r="M37" i="9"/>
  <c r="L8" i="9"/>
  <c r="L12" i="9"/>
  <c r="L27" i="9"/>
  <c r="M27" i="9"/>
  <c r="M28" i="9"/>
  <c r="M38" i="9"/>
  <c r="M24" i="9"/>
  <c r="M34" i="9"/>
  <c r="H40" i="10"/>
  <c r="G18" i="10"/>
  <c r="G40" i="10"/>
  <c r="H41" i="10"/>
  <c r="H20" i="10"/>
  <c r="H18" i="10"/>
  <c r="H19" i="10"/>
  <c r="G41" i="10"/>
  <c r="D41" i="10"/>
  <c r="D40" i="10"/>
  <c r="E41" i="10"/>
  <c r="E19" i="10"/>
  <c r="E20" i="10"/>
  <c r="E43" i="10"/>
  <c r="E40" i="10"/>
  <c r="E18" i="10"/>
  <c r="D19" i="10"/>
  <c r="D18" i="10"/>
  <c r="K39" i="9"/>
  <c r="H18" i="9"/>
  <c r="K19" i="9"/>
  <c r="H39" i="9"/>
  <c r="H41" i="9"/>
  <c r="I20" i="9"/>
  <c r="J41" i="9"/>
  <c r="I42" i="9"/>
  <c r="K41" i="9"/>
  <c r="I39" i="9"/>
  <c r="I41" i="9"/>
  <c r="K42" i="9"/>
  <c r="H40" i="9"/>
  <c r="H19" i="9"/>
  <c r="I40" i="9"/>
  <c r="I19" i="9"/>
  <c r="J40" i="9"/>
  <c r="J19" i="9"/>
  <c r="K40" i="9"/>
  <c r="K20" i="9"/>
  <c r="I18" i="9"/>
  <c r="J18" i="9"/>
  <c r="J39" i="9"/>
  <c r="K18" i="9"/>
  <c r="B41" i="8"/>
  <c r="B40" i="8"/>
  <c r="B39" i="8"/>
  <c r="G40" i="8"/>
  <c r="F40" i="8"/>
  <c r="D40" i="8"/>
  <c r="B19" i="8"/>
  <c r="B18" i="8"/>
  <c r="G41" i="8"/>
  <c r="F19" i="8"/>
  <c r="F59" i="7"/>
  <c r="D58" i="7"/>
  <c r="F58" i="7" s="1"/>
  <c r="D57" i="7"/>
  <c r="F57" i="7" s="1"/>
  <c r="D56" i="7"/>
  <c r="F56" i="7" s="1"/>
  <c r="D55" i="7"/>
  <c r="F55" i="7" s="1"/>
  <c r="F54" i="7"/>
  <c r="D54" i="7"/>
  <c r="D53" i="7"/>
  <c r="F53" i="7" s="1"/>
  <c r="D52" i="7"/>
  <c r="F52" i="7" s="1"/>
  <c r="D51" i="7"/>
  <c r="F51" i="7" s="1"/>
  <c r="D50" i="7"/>
  <c r="F50" i="7" s="1"/>
  <c r="F49" i="7"/>
  <c r="D48" i="7"/>
  <c r="F48" i="7" s="1"/>
  <c r="D47" i="7"/>
  <c r="F47" i="7" s="1"/>
  <c r="F46" i="7"/>
  <c r="D46" i="7"/>
  <c r="D45" i="7"/>
  <c r="F45" i="7" s="1"/>
  <c r="F44" i="7"/>
  <c r="D44" i="7"/>
  <c r="D43" i="7"/>
  <c r="F43" i="7" s="1"/>
  <c r="D42" i="7"/>
  <c r="F42" i="7" s="1"/>
  <c r="D41" i="7"/>
  <c r="F41" i="7" s="1"/>
  <c r="D40" i="7"/>
  <c r="F40" i="7" s="1"/>
  <c r="D39" i="7"/>
  <c r="F39" i="7" s="1"/>
  <c r="F38" i="7"/>
  <c r="D38" i="7"/>
  <c r="F37" i="7"/>
  <c r="D36" i="7"/>
  <c r="F36" i="7" s="1"/>
  <c r="F5" i="7"/>
  <c r="F8" i="7"/>
  <c r="F9" i="7"/>
  <c r="F11" i="7"/>
  <c r="F19" i="7"/>
  <c r="F20" i="7"/>
  <c r="F21" i="7"/>
  <c r="F25" i="7"/>
  <c r="F27" i="7"/>
  <c r="D5" i="7"/>
  <c r="D6" i="7"/>
  <c r="F6" i="7" s="1"/>
  <c r="F3" i="7"/>
  <c r="D29" i="7"/>
  <c r="F29" i="7" s="1"/>
  <c r="D30" i="7"/>
  <c r="F30" i="7" s="1"/>
  <c r="D31" i="7"/>
  <c r="F31" i="7" s="1"/>
  <c r="D32" i="7"/>
  <c r="F32" i="7" s="1"/>
  <c r="D28" i="7"/>
  <c r="F28" i="7" s="1"/>
  <c r="D27" i="7"/>
  <c r="D23" i="7"/>
  <c r="F23" i="7" s="1"/>
  <c r="D24" i="7"/>
  <c r="F24" i="7" s="1"/>
  <c r="D25" i="7"/>
  <c r="D26" i="7"/>
  <c r="F26" i="7" s="1"/>
  <c r="D22" i="7"/>
  <c r="F22" i="7" s="1"/>
  <c r="D21" i="7"/>
  <c r="D20" i="7"/>
  <c r="D19" i="7"/>
  <c r="D18" i="7"/>
  <c r="F18" i="7" s="1"/>
  <c r="D17" i="7"/>
  <c r="F17" i="7" s="1"/>
  <c r="D16" i="7"/>
  <c r="F16" i="7" s="1"/>
  <c r="D15" i="7"/>
  <c r="F15" i="7" s="1"/>
  <c r="D14" i="7"/>
  <c r="F14" i="7" s="1"/>
  <c r="D13" i="7"/>
  <c r="F13" i="7" s="1"/>
  <c r="D12" i="7"/>
  <c r="F12" i="7" s="1"/>
  <c r="D11" i="7"/>
  <c r="D10" i="7"/>
  <c r="F10" i="7" s="1"/>
  <c r="D9" i="7"/>
  <c r="D4" i="7"/>
  <c r="F4" i="7" s="1"/>
  <c r="D7" i="7"/>
  <c r="F7" i="7" s="1"/>
  <c r="D8" i="7"/>
  <c r="D3" i="7"/>
  <c r="J34" i="7"/>
  <c r="I4" i="7"/>
  <c r="J4" i="7" s="1"/>
  <c r="I5" i="7"/>
  <c r="J5" i="7" s="1"/>
  <c r="I6" i="7"/>
  <c r="J6" i="7" s="1"/>
  <c r="I7" i="7"/>
  <c r="J7" i="7" s="1"/>
  <c r="I8" i="7"/>
  <c r="J8" i="7" s="1"/>
  <c r="I9" i="7"/>
  <c r="J9" i="7" s="1"/>
  <c r="I10" i="7"/>
  <c r="J10" i="7" s="1"/>
  <c r="I11" i="7"/>
  <c r="J11" i="7" s="1"/>
  <c r="I12" i="7"/>
  <c r="J12" i="7" s="1"/>
  <c r="I13" i="7"/>
  <c r="J13" i="7" s="1"/>
  <c r="I14" i="7"/>
  <c r="J14" i="7" s="1"/>
  <c r="I15" i="7"/>
  <c r="J15" i="7" s="1"/>
  <c r="I16" i="7"/>
  <c r="J16" i="7" s="1"/>
  <c r="J17" i="7"/>
  <c r="J18" i="7"/>
  <c r="J19" i="7"/>
  <c r="I20" i="7"/>
  <c r="J20" i="7" s="1"/>
  <c r="I21" i="7"/>
  <c r="J21" i="7" s="1"/>
  <c r="I22" i="7"/>
  <c r="J22" i="7" s="1"/>
  <c r="I23" i="7"/>
  <c r="J23" i="7" s="1"/>
  <c r="I24" i="7"/>
  <c r="J24" i="7" s="1"/>
  <c r="I25" i="7"/>
  <c r="J25" i="7" s="1"/>
  <c r="I26" i="7"/>
  <c r="J26" i="7" s="1"/>
  <c r="I27" i="7"/>
  <c r="J27" i="7" s="1"/>
  <c r="I28" i="7"/>
  <c r="J28" i="7" s="1"/>
  <c r="I29" i="7"/>
  <c r="J29" i="7" s="1"/>
  <c r="I30" i="7"/>
  <c r="J30" i="7" s="1"/>
  <c r="I31" i="7"/>
  <c r="J31" i="7" s="1"/>
  <c r="I32" i="7"/>
  <c r="J32" i="7" s="1"/>
  <c r="J33" i="7"/>
  <c r="I35" i="7"/>
  <c r="J35" i="7" s="1"/>
  <c r="I36" i="7"/>
  <c r="J36" i="7" s="1"/>
  <c r="I37" i="7"/>
  <c r="J37" i="7" s="1"/>
  <c r="I38" i="7"/>
  <c r="J38" i="7" s="1"/>
  <c r="I39" i="7"/>
  <c r="J39" i="7" s="1"/>
  <c r="I40" i="7"/>
  <c r="J40" i="7" s="1"/>
  <c r="I41" i="7"/>
  <c r="J41" i="7" s="1"/>
  <c r="I42" i="7"/>
  <c r="J42" i="7" s="1"/>
  <c r="I43" i="7"/>
  <c r="J43" i="7" s="1"/>
  <c r="I44" i="7"/>
  <c r="J44" i="7" s="1"/>
  <c r="I45" i="7"/>
  <c r="J45" i="7" s="1"/>
  <c r="I46" i="7"/>
  <c r="J46" i="7" s="1"/>
  <c r="I47" i="7"/>
  <c r="J47" i="7" s="1"/>
  <c r="I48" i="7"/>
  <c r="J48" i="7" s="1"/>
  <c r="I49" i="7"/>
  <c r="J49" i="7" s="1"/>
  <c r="I50" i="7"/>
  <c r="J50" i="7" s="1"/>
  <c r="I51" i="7"/>
  <c r="J51" i="7" s="1"/>
  <c r="I52" i="7"/>
  <c r="J52" i="7" s="1"/>
  <c r="I53" i="7"/>
  <c r="J53" i="7" s="1"/>
  <c r="I54" i="7"/>
  <c r="J54" i="7" s="1"/>
  <c r="I55" i="7"/>
  <c r="J55" i="7" s="1"/>
  <c r="I56" i="7"/>
  <c r="J56" i="7" s="1"/>
  <c r="I3" i="7"/>
  <c r="J3" i="7" s="1"/>
  <c r="C40" i="5"/>
  <c r="C39" i="5"/>
  <c r="C19" i="5"/>
  <c r="C18" i="5"/>
  <c r="M19" i="9" l="1"/>
  <c r="L39" i="9"/>
  <c r="L40" i="9"/>
  <c r="M18" i="9"/>
  <c r="M20" i="9"/>
  <c r="J43" i="14"/>
  <c r="J44" i="14"/>
  <c r="G21" i="14"/>
  <c r="G22" i="14"/>
  <c r="K6" i="14"/>
  <c r="K23" i="14" s="1"/>
  <c r="K42" i="14"/>
  <c r="K45" i="14"/>
  <c r="L18" i="9"/>
  <c r="L19" i="9"/>
  <c r="L41" i="9"/>
  <c r="M40" i="9"/>
  <c r="M39" i="9"/>
  <c r="M41" i="9"/>
  <c r="M42" i="9"/>
  <c r="G39" i="8"/>
  <c r="E20" i="8"/>
  <c r="D18" i="8"/>
  <c r="D39" i="8"/>
  <c r="E18" i="8"/>
  <c r="E39" i="8"/>
  <c r="G20" i="8"/>
  <c r="F39" i="8"/>
  <c r="D19" i="8"/>
  <c r="F18" i="8"/>
  <c r="E19" i="8"/>
  <c r="D41" i="8"/>
  <c r="E40" i="8"/>
  <c r="F41" i="8"/>
  <c r="E41" i="8"/>
  <c r="E42" i="8"/>
  <c r="G18" i="8"/>
  <c r="G42" i="8"/>
  <c r="G19" i="8"/>
  <c r="S4" i="4"/>
  <c r="S6" i="4"/>
  <c r="S7" i="4"/>
  <c r="S8" i="4"/>
  <c r="S9" i="4"/>
  <c r="S10" i="4"/>
  <c r="S11" i="4"/>
  <c r="S12" i="4"/>
  <c r="S14" i="4"/>
  <c r="S15" i="4"/>
  <c r="S16" i="4"/>
  <c r="S17" i="4"/>
  <c r="S18" i="4"/>
  <c r="S19" i="4"/>
  <c r="S20" i="4"/>
  <c r="S21" i="4"/>
  <c r="S22" i="4"/>
  <c r="S24" i="4"/>
  <c r="S27" i="4"/>
  <c r="S28" i="4"/>
  <c r="S29" i="4"/>
  <c r="S30" i="4"/>
  <c r="S31" i="4"/>
  <c r="S32" i="4"/>
  <c r="S3" i="4"/>
  <c r="R4" i="6"/>
  <c r="R6" i="6"/>
  <c r="R7" i="6"/>
  <c r="R8" i="6"/>
  <c r="R9" i="6"/>
  <c r="R10" i="6"/>
  <c r="R11" i="6"/>
  <c r="R12" i="6"/>
  <c r="R13" i="6"/>
  <c r="R14" i="6"/>
  <c r="R15" i="6"/>
  <c r="R16" i="6"/>
  <c r="R17" i="6"/>
  <c r="R18" i="6"/>
  <c r="R19" i="6"/>
  <c r="R20" i="6"/>
  <c r="R21" i="6"/>
  <c r="R22" i="6"/>
  <c r="R24" i="6"/>
  <c r="R25" i="6"/>
  <c r="R26" i="6"/>
  <c r="R27" i="6"/>
  <c r="R28" i="6"/>
  <c r="R29" i="6"/>
  <c r="R30" i="6"/>
  <c r="R31" i="6"/>
  <c r="R32" i="6"/>
  <c r="R3" i="6"/>
  <c r="I26" i="6"/>
  <c r="J26" i="6"/>
  <c r="K26" i="6"/>
  <c r="L26" i="6"/>
  <c r="L39" i="6" s="1"/>
  <c r="I27" i="6"/>
  <c r="J27" i="6"/>
  <c r="K27" i="6"/>
  <c r="L27" i="6"/>
  <c r="I28" i="6"/>
  <c r="J28" i="6"/>
  <c r="K28" i="6"/>
  <c r="L28" i="6"/>
  <c r="I30" i="6"/>
  <c r="J30" i="6"/>
  <c r="K30" i="6"/>
  <c r="L30" i="6"/>
  <c r="I31" i="6"/>
  <c r="J31" i="6"/>
  <c r="K31" i="6"/>
  <c r="L31" i="6"/>
  <c r="I32" i="6"/>
  <c r="J32" i="6"/>
  <c r="K32" i="6"/>
  <c r="L32" i="6"/>
  <c r="I33" i="6"/>
  <c r="J33" i="6"/>
  <c r="K33" i="6"/>
  <c r="L33" i="6"/>
  <c r="I34" i="6"/>
  <c r="J34" i="6"/>
  <c r="K34" i="6"/>
  <c r="L34" i="6"/>
  <c r="I35" i="6"/>
  <c r="J35" i="6"/>
  <c r="K35" i="6"/>
  <c r="L35" i="6"/>
  <c r="I36" i="6"/>
  <c r="J36" i="6"/>
  <c r="K36" i="6"/>
  <c r="L36" i="6"/>
  <c r="I37" i="6"/>
  <c r="J37" i="6"/>
  <c r="K37" i="6"/>
  <c r="K39" i="6" s="1"/>
  <c r="L37" i="6"/>
  <c r="I38" i="6"/>
  <c r="J38" i="6"/>
  <c r="K38" i="6"/>
  <c r="L38" i="6"/>
  <c r="K24" i="6"/>
  <c r="L24" i="6"/>
  <c r="K25" i="6"/>
  <c r="L25" i="6"/>
  <c r="J25" i="6"/>
  <c r="I25" i="6"/>
  <c r="J24" i="6"/>
  <c r="J39" i="6" s="1"/>
  <c r="I24" i="6"/>
  <c r="I4" i="6"/>
  <c r="J4" i="6"/>
  <c r="K4" i="6"/>
  <c r="L4" i="6"/>
  <c r="I6" i="6"/>
  <c r="J6" i="6"/>
  <c r="K6" i="6"/>
  <c r="L6" i="6"/>
  <c r="I7" i="6"/>
  <c r="J7" i="6"/>
  <c r="K7" i="6"/>
  <c r="L7" i="6"/>
  <c r="I8" i="6"/>
  <c r="J8" i="6"/>
  <c r="K8" i="6"/>
  <c r="L8" i="6"/>
  <c r="I9" i="6"/>
  <c r="J9" i="6"/>
  <c r="K9" i="6"/>
  <c r="L9" i="6"/>
  <c r="I10" i="6"/>
  <c r="J10" i="6"/>
  <c r="K10" i="6"/>
  <c r="L10" i="6"/>
  <c r="I11" i="6"/>
  <c r="J11" i="6"/>
  <c r="K11" i="6"/>
  <c r="L11" i="6"/>
  <c r="I12" i="6"/>
  <c r="J12" i="6"/>
  <c r="K12" i="6"/>
  <c r="L12" i="6"/>
  <c r="I13" i="6"/>
  <c r="J13" i="6"/>
  <c r="K13" i="6"/>
  <c r="L13" i="6"/>
  <c r="I14" i="6"/>
  <c r="J14" i="6"/>
  <c r="K14" i="6"/>
  <c r="L14" i="6"/>
  <c r="I15" i="6"/>
  <c r="J15" i="6"/>
  <c r="K15" i="6"/>
  <c r="L15" i="6"/>
  <c r="I16" i="6"/>
  <c r="J16" i="6"/>
  <c r="K16" i="6"/>
  <c r="L16" i="6"/>
  <c r="I17" i="6"/>
  <c r="J17" i="6"/>
  <c r="K17" i="6"/>
  <c r="L17" i="6"/>
  <c r="J3" i="6"/>
  <c r="K3" i="6"/>
  <c r="L3" i="6"/>
  <c r="I3" i="6"/>
  <c r="I18" i="6" s="1"/>
  <c r="L19" i="6"/>
  <c r="L18" i="6"/>
  <c r="F20" i="6"/>
  <c r="H41" i="6"/>
  <c r="G41" i="6"/>
  <c r="F41" i="6"/>
  <c r="E41" i="6"/>
  <c r="H40" i="6"/>
  <c r="G40" i="6"/>
  <c r="F40" i="6"/>
  <c r="E40" i="6"/>
  <c r="B40" i="6"/>
  <c r="H39" i="6"/>
  <c r="G39" i="6"/>
  <c r="F39" i="6"/>
  <c r="E39" i="6"/>
  <c r="B39" i="6"/>
  <c r="H19" i="6"/>
  <c r="G19" i="6"/>
  <c r="F19" i="6"/>
  <c r="E19" i="6"/>
  <c r="B19" i="6"/>
  <c r="H18" i="6"/>
  <c r="G18" i="6"/>
  <c r="F18" i="6"/>
  <c r="E18" i="6"/>
  <c r="B18" i="6"/>
  <c r="K28" i="4"/>
  <c r="J28" i="4"/>
  <c r="K40" i="6" l="1"/>
  <c r="K19" i="6"/>
  <c r="K21" i="14"/>
  <c r="K22" i="14"/>
  <c r="K44" i="14"/>
  <c r="J40" i="6"/>
  <c r="J19" i="6"/>
  <c r="I39" i="6"/>
  <c r="L40" i="6"/>
  <c r="L41" i="6"/>
  <c r="I40" i="6"/>
  <c r="I41" i="6"/>
  <c r="J42" i="6"/>
  <c r="I19" i="6"/>
  <c r="J20" i="6"/>
  <c r="K41" i="6"/>
  <c r="J41" i="6"/>
  <c r="J18" i="6"/>
  <c r="K18" i="6"/>
  <c r="R35" i="4"/>
  <c r="P33" i="4"/>
  <c r="Q33" i="4"/>
  <c r="R33" i="4"/>
  <c r="P34" i="4"/>
  <c r="Q34" i="4"/>
  <c r="R34" i="4"/>
  <c r="P35" i="4"/>
  <c r="O34" i="4"/>
  <c r="O33" i="4"/>
  <c r="J8" i="4"/>
  <c r="K8" i="4"/>
  <c r="J7" i="4" l="1"/>
  <c r="K7" i="4"/>
  <c r="J33" i="4"/>
  <c r="K33" i="4"/>
  <c r="J3" i="4"/>
  <c r="K3" i="4"/>
  <c r="J26" i="4"/>
  <c r="K26" i="4"/>
  <c r="J27" i="4"/>
  <c r="K27" i="4"/>
  <c r="J30" i="4"/>
  <c r="K30" i="4"/>
  <c r="J34" i="4"/>
  <c r="K34" i="4"/>
  <c r="J35" i="4"/>
  <c r="K35" i="4"/>
  <c r="J36" i="4"/>
  <c r="K36" i="4"/>
  <c r="J37" i="4"/>
  <c r="K37" i="4"/>
  <c r="J38" i="4"/>
  <c r="K38" i="4"/>
  <c r="J24" i="4"/>
  <c r="K24" i="4"/>
  <c r="K25" i="4"/>
  <c r="J25" i="4"/>
  <c r="J6" i="4"/>
  <c r="K6" i="4"/>
  <c r="J9" i="4"/>
  <c r="K9" i="4"/>
  <c r="J10" i="4"/>
  <c r="K10" i="4"/>
  <c r="J11" i="4"/>
  <c r="K11" i="4"/>
  <c r="J12" i="4"/>
  <c r="K12" i="4"/>
  <c r="J14" i="4"/>
  <c r="K14" i="4"/>
  <c r="J15" i="4"/>
  <c r="K15" i="4"/>
  <c r="J16" i="4"/>
  <c r="K16" i="4"/>
  <c r="J17" i="4"/>
  <c r="K17" i="4"/>
  <c r="J4" i="4"/>
  <c r="K4" i="4"/>
  <c r="D39" i="4"/>
  <c r="E39" i="4"/>
  <c r="F39" i="4"/>
  <c r="G39" i="4"/>
  <c r="D40" i="4"/>
  <c r="E40" i="4"/>
  <c r="F40" i="4"/>
  <c r="G40" i="4"/>
  <c r="D41" i="4"/>
  <c r="E41" i="4"/>
  <c r="F41" i="4"/>
  <c r="G41" i="4"/>
  <c r="D18" i="4"/>
  <c r="E18" i="4"/>
  <c r="F18" i="4"/>
  <c r="G18" i="4"/>
  <c r="D19" i="4"/>
  <c r="E19" i="4"/>
  <c r="F19" i="4"/>
  <c r="G19" i="4"/>
  <c r="B41" i="4"/>
  <c r="B40" i="4"/>
  <c r="B39" i="4"/>
  <c r="B19" i="4"/>
  <c r="B18" i="4"/>
  <c r="Q8" i="1"/>
  <c r="G11" i="1"/>
  <c r="Q31" i="1"/>
  <c r="Q37" i="1"/>
  <c r="O18" i="1"/>
  <c r="P18" i="1"/>
  <c r="O19" i="1"/>
  <c r="P19" i="1"/>
  <c r="N19" i="1"/>
  <c r="N18" i="1"/>
  <c r="O39" i="1"/>
  <c r="P39" i="1"/>
  <c r="O40" i="1"/>
  <c r="P40" i="1"/>
  <c r="N40" i="1"/>
  <c r="N39" i="1"/>
  <c r="O41" i="1"/>
  <c r="P41" i="1"/>
  <c r="N41" i="1"/>
  <c r="L41" i="1"/>
  <c r="L19" i="1"/>
  <c r="L18" i="1"/>
  <c r="Q17" i="1"/>
  <c r="Q33" i="1"/>
  <c r="G28" i="1"/>
  <c r="E32" i="1"/>
  <c r="F32" i="1"/>
  <c r="E33" i="1"/>
  <c r="F33" i="1"/>
  <c r="D33" i="1"/>
  <c r="D32" i="1"/>
  <c r="G17" i="1"/>
  <c r="G31" i="1"/>
  <c r="B32" i="1"/>
  <c r="G21" i="1"/>
  <c r="Q6" i="1"/>
  <c r="G8" i="1"/>
  <c r="Q29" i="1"/>
  <c r="G39" i="1"/>
  <c r="L40" i="1"/>
  <c r="L39" i="1"/>
  <c r="Q16" i="1"/>
  <c r="Q15" i="1"/>
  <c r="Q14" i="1"/>
  <c r="Q13" i="1"/>
  <c r="Q34" i="1"/>
  <c r="Q12" i="1"/>
  <c r="Q10" i="1"/>
  <c r="Q9" i="1"/>
  <c r="Q7" i="1"/>
  <c r="Q5" i="1"/>
  <c r="Q4" i="1"/>
  <c r="Q3" i="1"/>
  <c r="B33" i="1"/>
  <c r="H39" i="4" l="1"/>
  <c r="K39" i="4"/>
  <c r="I42" i="4"/>
  <c r="K42" i="4"/>
  <c r="I39" i="4"/>
  <c r="H40" i="4"/>
  <c r="K19" i="4"/>
  <c r="J19" i="4"/>
  <c r="H41" i="4"/>
  <c r="K18" i="4"/>
  <c r="K41" i="4"/>
  <c r="J41" i="4"/>
  <c r="I18" i="4"/>
  <c r="K40" i="4"/>
  <c r="J40" i="4"/>
  <c r="I40" i="4"/>
  <c r="J39" i="4"/>
  <c r="J18" i="4"/>
  <c r="K20" i="4"/>
  <c r="I41" i="4"/>
  <c r="I19" i="4"/>
  <c r="I20" i="4"/>
  <c r="H18" i="4"/>
  <c r="H19" i="4"/>
  <c r="Q40" i="1"/>
  <c r="Q18" i="1"/>
  <c r="Q41" i="1"/>
  <c r="Q39" i="1"/>
  <c r="Q19" i="1"/>
  <c r="G19" i="1"/>
  <c r="G20" i="1"/>
  <c r="G16" i="1"/>
  <c r="G10" i="1"/>
  <c r="G2" i="1"/>
  <c r="G3" i="1"/>
  <c r="G22" i="1"/>
  <c r="G23" i="1"/>
  <c r="G24" i="1"/>
  <c r="G4" i="1"/>
  <c r="G25" i="1"/>
  <c r="G26" i="1"/>
  <c r="G5" i="1"/>
  <c r="G6" i="1"/>
  <c r="G38" i="1"/>
  <c r="G9" i="1"/>
  <c r="G32" i="1" s="1"/>
  <c r="G27" i="1"/>
  <c r="G12" i="1"/>
  <c r="G29" i="1"/>
  <c r="G14" i="1"/>
  <c r="G30" i="1"/>
  <c r="G15" i="1"/>
  <c r="G18" i="1"/>
  <c r="G33" i="1" l="1"/>
</calcChain>
</file>

<file path=xl/sharedStrings.xml><?xml version="1.0" encoding="utf-8"?>
<sst xmlns="http://schemas.openxmlformats.org/spreadsheetml/2006/main" count="2809" uniqueCount="485">
  <si>
    <t>Part#</t>
  </si>
  <si>
    <t>Age</t>
  </si>
  <si>
    <t>Sex</t>
  </si>
  <si>
    <t>S01</t>
  </si>
  <si>
    <t>M</t>
  </si>
  <si>
    <t>S04</t>
  </si>
  <si>
    <t>F</t>
  </si>
  <si>
    <t>S05</t>
  </si>
  <si>
    <t>S06</t>
  </si>
  <si>
    <t>S07</t>
  </si>
  <si>
    <t>S08</t>
  </si>
  <si>
    <t>S10</t>
  </si>
  <si>
    <t>S11</t>
  </si>
  <si>
    <t>S12</t>
  </si>
  <si>
    <t>S14</t>
  </si>
  <si>
    <t>Mass_kg</t>
  </si>
  <si>
    <t>S16</t>
  </si>
  <si>
    <t>S17</t>
  </si>
  <si>
    <t>S18</t>
  </si>
  <si>
    <t>S19</t>
  </si>
  <si>
    <t>S21</t>
  </si>
  <si>
    <t>S22</t>
  </si>
  <si>
    <t>S23</t>
  </si>
  <si>
    <t>S24</t>
  </si>
  <si>
    <t>S25</t>
  </si>
  <si>
    <t>S26</t>
  </si>
  <si>
    <t>S27</t>
  </si>
  <si>
    <t>S28</t>
  </si>
  <si>
    <t>S31</t>
  </si>
  <si>
    <t>S29</t>
  </si>
  <si>
    <t>S32</t>
  </si>
  <si>
    <t>S33</t>
  </si>
  <si>
    <t>S34</t>
  </si>
  <si>
    <t>Mean</t>
  </si>
  <si>
    <t>Std Dev</t>
  </si>
  <si>
    <t>DXA_Fat_kg</t>
  </si>
  <si>
    <t>DXA_perc</t>
  </si>
  <si>
    <t>DXA_Lean_bone-free_kg</t>
  </si>
  <si>
    <t>Assignment</t>
  </si>
  <si>
    <t>T-test</t>
  </si>
  <si>
    <t>08</t>
  </si>
  <si>
    <t>009</t>
  </si>
  <si>
    <t>S30</t>
  </si>
  <si>
    <t>Supp_009</t>
  </si>
  <si>
    <t>Supp_08</t>
  </si>
  <si>
    <t>***Cite: Pocock SJ. Clinical Trials: A Practical Approach. Wiley; 1983</t>
  </si>
  <si>
    <t>Mason C. McIntosh</t>
  </si>
  <si>
    <t>Affiliation</t>
  </si>
  <si>
    <t>email</t>
  </si>
  <si>
    <t>School of Kinesiology, Auburn University, Auburn, AL, USA</t>
  </si>
  <si>
    <t>Michael D. Roberts*</t>
  </si>
  <si>
    <t>Darren T. Beck*</t>
  </si>
  <si>
    <t>Andreas N. Kavazis</t>
  </si>
  <si>
    <t>Austin T. Robinson</t>
  </si>
  <si>
    <t>Color code</t>
  </si>
  <si>
    <t>Has right of role acceptance or refusal</t>
  </si>
  <si>
    <t>Primarily drafted works</t>
  </si>
  <si>
    <t>Review/edit works</t>
  </si>
  <si>
    <t>Approved final works</t>
  </si>
  <si>
    <t>Anticipated role</t>
  </si>
  <si>
    <t>Role 1</t>
  </si>
  <si>
    <t>Role 2</t>
  </si>
  <si>
    <t>Role 3</t>
  </si>
  <si>
    <t>Role 4</t>
  </si>
  <si>
    <t>Role 5</t>
  </si>
  <si>
    <t>Role 6</t>
  </si>
  <si>
    <t>Yes</t>
  </si>
  <si>
    <t>Yes (APS Porter)</t>
  </si>
  <si>
    <t>Data collection</t>
  </si>
  <si>
    <t>No</t>
  </si>
  <si>
    <t>George Kontos</t>
  </si>
  <si>
    <t>Data analysis/interpretation</t>
  </si>
  <si>
    <t>Role 7</t>
  </si>
  <si>
    <t>Role 8</t>
  </si>
  <si>
    <t>Recruitment/consent</t>
  </si>
  <si>
    <t>Yes, recruitment</t>
  </si>
  <si>
    <t>Andrew D. Fruge</t>
  </si>
  <si>
    <t>Yes, resources</t>
  </si>
  <si>
    <t>L. Bruce Gladden</t>
  </si>
  <si>
    <t>Researcher (order following Mason/Bre subject to change)</t>
  </si>
  <si>
    <t>Role 9</t>
  </si>
  <si>
    <t>Conception/design</t>
  </si>
  <si>
    <t>Yes, Biodex</t>
  </si>
  <si>
    <t>Yes, Committee member</t>
  </si>
  <si>
    <t>Yes, Committee member &amp; co-mentor</t>
  </si>
  <si>
    <t>Daniel Plotkin</t>
  </si>
  <si>
    <t>J. Max Michel</t>
  </si>
  <si>
    <t>Jaimie Roper</t>
  </si>
  <si>
    <t>Yes, resources (REAP grant)</t>
  </si>
  <si>
    <t>Resources (funding)</t>
  </si>
  <si>
    <t>Yes, resources (discret. funds)</t>
  </si>
  <si>
    <t>Kenneth Harrison</t>
  </si>
  <si>
    <t>Yes (past part. list)</t>
  </si>
  <si>
    <t>***Note 3/6 roles 1-6 (50%) are needed to gain right of acceptance/refusal for roles 7-9</t>
  </si>
  <si>
    <t>Keven Gerardo Santamaria-Guzman</t>
  </si>
  <si>
    <t>Dustyn Lewis</t>
  </si>
  <si>
    <t>Yes, Blood flow and functional</t>
  </si>
  <si>
    <t>Yes, Blood flow and muscle-biochem</t>
  </si>
  <si>
    <t>Yes, USG and DXA</t>
  </si>
  <si>
    <t>Yes, ultrasound</t>
  </si>
  <si>
    <t>Yes, testing days</t>
  </si>
  <si>
    <t>Yes, Biodex and muscle-biochem</t>
  </si>
  <si>
    <t>Yes, functional</t>
  </si>
  <si>
    <t>Yes, most aspects</t>
  </si>
  <si>
    <t>Yes, Biopsies</t>
  </si>
  <si>
    <t>Yes, Blood flow</t>
  </si>
  <si>
    <t>Yes, mito. markers</t>
  </si>
  <si>
    <t>Yes, functional assessments</t>
  </si>
  <si>
    <t>Ultrasound</t>
  </si>
  <si>
    <t>Functional</t>
  </si>
  <si>
    <t>Muscle-biochem</t>
  </si>
  <si>
    <t>12-week supervised Training</t>
  </si>
  <si>
    <t>School of Public Health, Indiana University, Bloomington, IN, USA</t>
  </si>
  <si>
    <t>mzm0309@auburn.edu</t>
  </si>
  <si>
    <t xml:space="preserve">bzm0075@auburn.edu </t>
  </si>
  <si>
    <t>Brandon M. Peoples</t>
  </si>
  <si>
    <t>bmp0049@auburn.edu</t>
  </si>
  <si>
    <t>georgekontos4663@gmail.com</t>
  </si>
  <si>
    <t>Dakota R. Tiede</t>
  </si>
  <si>
    <t>drt0028@auburn.edu</t>
  </si>
  <si>
    <t>dzp0092@auburn.edu</t>
  </si>
  <si>
    <t>Madison L. Mattingly</t>
  </si>
  <si>
    <t>mlm0139@auburn.edu</t>
  </si>
  <si>
    <t>Nicholas J. Kontos</t>
  </si>
  <si>
    <t>njk0013@auburn.edu</t>
  </si>
  <si>
    <t>jmm0145@auburn.edu</t>
  </si>
  <si>
    <t>Derick A. Anglin</t>
  </si>
  <si>
    <t>daa0017@auburn.edu</t>
  </si>
  <si>
    <t>dtl0018@auburn.edu</t>
  </si>
  <si>
    <t>M. Kase Chirico</t>
  </si>
  <si>
    <t>mkc0077@auburn.edu</t>
  </si>
  <si>
    <t>kdh0077@auburn.edu</t>
  </si>
  <si>
    <t>kgs0071@auburn.edu</t>
  </si>
  <si>
    <t>jroper@auburn.edu</t>
  </si>
  <si>
    <t>gladdlb@auburn.edu</t>
  </si>
  <si>
    <t>adf0003@auburn.edu</t>
  </si>
  <si>
    <t>Supplement randomization</t>
  </si>
  <si>
    <t>ausrobin@iu.edu</t>
  </si>
  <si>
    <t>ank0012@auburn.edu</t>
  </si>
  <si>
    <t>Edward Via College of Osteopathic Medicine-Auburn, Auburn, AL, USA</t>
  </si>
  <si>
    <t>dbeck@auburn.vcom.edu</t>
  </si>
  <si>
    <t>mdr0024@auburn.edu</t>
  </si>
  <si>
    <t xml:space="preserve">      *co-mentors/co-funders (DB, participants, MDR, supplements and reagents)</t>
  </si>
  <si>
    <t>Acknowledgements</t>
  </si>
  <si>
    <t>Role</t>
  </si>
  <si>
    <t>Harshini Kannan</t>
  </si>
  <si>
    <t>Armanda Pinho</t>
  </si>
  <si>
    <t>James White, United Kingdom</t>
  </si>
  <si>
    <t>supplement logistics</t>
  </si>
  <si>
    <t>S35</t>
  </si>
  <si>
    <t>S36</t>
  </si>
  <si>
    <t>Sex (14M/16F)</t>
  </si>
  <si>
    <t>Dropped</t>
  </si>
  <si>
    <t>Potential drop</t>
  </si>
  <si>
    <t>Athletics Department, Auburn University, Auburn, AL, USA</t>
  </si>
  <si>
    <t>Michael Goodlett</t>
  </si>
  <si>
    <t>Medical oversight</t>
  </si>
  <si>
    <t>PRE_DXA_LSTM</t>
  </si>
  <si>
    <t>POST_DXA_LSTM</t>
  </si>
  <si>
    <t>PRE_DXA_fatmass</t>
  </si>
  <si>
    <t>T-test w-in</t>
  </si>
  <si>
    <t>Data in lbs</t>
  </si>
  <si>
    <t>Data in kgs</t>
  </si>
  <si>
    <t>Participants combined</t>
  </si>
  <si>
    <t>12-week total</t>
  </si>
  <si>
    <t>First workout, LB</t>
  </si>
  <si>
    <t>Last workout, LB</t>
  </si>
  <si>
    <t>Missed workouts</t>
  </si>
  <si>
    <t>12-week total, LB</t>
  </si>
  <si>
    <t>Data in kg</t>
  </si>
  <si>
    <t>1_to_24_delta</t>
  </si>
  <si>
    <t>Delta_DXA_LSTM</t>
  </si>
  <si>
    <t>Delta_DXA_LSTM (kg)</t>
  </si>
  <si>
    <t>POST_DXA_fatmass</t>
  </si>
  <si>
    <t>Amount should have consumed</t>
  </si>
  <si>
    <t>Amount missed</t>
  </si>
  <si>
    <t>Description:</t>
  </si>
  <si>
    <t xml:space="preserve">Supplements were allocated by a research assistant who was not part of the data collection or analysis portions of the project.  Weekly distributions were provided to all participants at the beginning of each week and during this time study staff communicated with participants about adherence. </t>
  </si>
  <si>
    <t>Sample</t>
  </si>
  <si>
    <t>S01 PRE</t>
  </si>
  <si>
    <t>S01 POST</t>
  </si>
  <si>
    <t>S04 PRE</t>
  </si>
  <si>
    <t>S04 POST</t>
  </si>
  <si>
    <t>S05 PRE</t>
  </si>
  <si>
    <t>S05 POST</t>
  </si>
  <si>
    <t>S06 PRE</t>
  </si>
  <si>
    <t>S06 POST</t>
  </si>
  <si>
    <t>S07 PRE</t>
  </si>
  <si>
    <t>S07 POST</t>
  </si>
  <si>
    <t>S08 PRE</t>
  </si>
  <si>
    <t>S08 POST</t>
  </si>
  <si>
    <t>S10 PRE</t>
  </si>
  <si>
    <t>S10 POST</t>
  </si>
  <si>
    <t>S12 PRE</t>
  </si>
  <si>
    <t>S12 POST</t>
  </si>
  <si>
    <t>S14 PRE</t>
  </si>
  <si>
    <t>S14 POST</t>
  </si>
  <si>
    <t>S16 PRE</t>
  </si>
  <si>
    <t>S16 POST</t>
  </si>
  <si>
    <t>S17 PRE</t>
  </si>
  <si>
    <t>S17 POST</t>
  </si>
  <si>
    <t>S18 PRE</t>
  </si>
  <si>
    <t>S18 POST</t>
  </si>
  <si>
    <t>S19 PRE</t>
  </si>
  <si>
    <t>S19 POST</t>
  </si>
  <si>
    <t>S22 PRE</t>
  </si>
  <si>
    <t xml:space="preserve">S22 POST </t>
  </si>
  <si>
    <t>S23 PRE</t>
  </si>
  <si>
    <t>S23 POST</t>
  </si>
  <si>
    <t>S24 PRE</t>
  </si>
  <si>
    <t>S24 POST</t>
  </si>
  <si>
    <t>S25 PRE</t>
  </si>
  <si>
    <t>S25 POST</t>
  </si>
  <si>
    <t>S26 PRE</t>
  </si>
  <si>
    <t xml:space="preserve">S26 POST </t>
  </si>
  <si>
    <t xml:space="preserve">S27 PRE </t>
  </si>
  <si>
    <t>S27 POST</t>
  </si>
  <si>
    <t>S28 PRE</t>
  </si>
  <si>
    <t>S28 POST</t>
  </si>
  <si>
    <t>S29 PRE</t>
  </si>
  <si>
    <t>S29 POST</t>
  </si>
  <si>
    <t>Final BCA value (ug/uL)</t>
  </si>
  <si>
    <t>Sample (uL)</t>
  </si>
  <si>
    <t>Blue buffer (uL)</t>
  </si>
  <si>
    <t>Water (uL)</t>
  </si>
  <si>
    <t>S31 PRE</t>
  </si>
  <si>
    <t>S31 POST</t>
  </si>
  <si>
    <t>S32 PRE</t>
  </si>
  <si>
    <t>S32 POST</t>
  </si>
  <si>
    <t>S33 PRE</t>
  </si>
  <si>
    <t>S33 POST</t>
  </si>
  <si>
    <t>S34 PRE</t>
  </si>
  <si>
    <t>S34 POST</t>
  </si>
  <si>
    <t>S35 PRE</t>
  </si>
  <si>
    <t>S35 POST</t>
  </si>
  <si>
    <t>S36 PRE</t>
  </si>
  <si>
    <t>S36 POST</t>
  </si>
  <si>
    <t>Preps for Nitrate and other assays (200 uL @ 1 ug/uL)</t>
  </si>
  <si>
    <t>Gel 1</t>
  </si>
  <si>
    <t>Gel 2</t>
  </si>
  <si>
    <t>Gel 3</t>
  </si>
  <si>
    <t>Ladder</t>
  </si>
  <si>
    <t>Lane --&gt;</t>
  </si>
  <si>
    <t>Pre</t>
  </si>
  <si>
    <t>Post</t>
  </si>
  <si>
    <t>Targets</t>
  </si>
  <si>
    <t>VEGF</t>
  </si>
  <si>
    <t>VEGFR2</t>
  </si>
  <si>
    <t>TSP-1</t>
  </si>
  <si>
    <t>MMP2</t>
  </si>
  <si>
    <t>MMP9</t>
  </si>
  <si>
    <t>TIMP1</t>
  </si>
  <si>
    <t>TIMP2</t>
  </si>
  <si>
    <t>p-eNOS</t>
  </si>
  <si>
    <t>pan eNOS</t>
  </si>
  <si>
    <t>30 KD</t>
  </si>
  <si>
    <t>200-300 kD</t>
  </si>
  <si>
    <t>Gel set 1</t>
  </si>
  <si>
    <t>Gel set 2</t>
  </si>
  <si>
    <t>170 kD</t>
  </si>
  <si>
    <t>70 kD</t>
  </si>
  <si>
    <t>26 kD</t>
  </si>
  <si>
    <t>Gel set 3</t>
  </si>
  <si>
    <t>90 kD</t>
  </si>
  <si>
    <t>22 kD</t>
  </si>
  <si>
    <t>(after TIMP2 strip)</t>
  </si>
  <si>
    <t>Top</t>
  </si>
  <si>
    <t>Bottom</t>
  </si>
  <si>
    <t>Mid</t>
  </si>
  <si>
    <t>Bottom post-strip</t>
  </si>
  <si>
    <t>140 kD</t>
  </si>
  <si>
    <t>Top post-strip</t>
  </si>
  <si>
    <t>Western blot preps (1 ug/uL @ 200 uL)</t>
  </si>
  <si>
    <t>TFEB</t>
  </si>
  <si>
    <t>PRE_VLmCSA</t>
  </si>
  <si>
    <t>POST_VLmCSA</t>
  </si>
  <si>
    <t>PRE_RFmCSA</t>
  </si>
  <si>
    <t>POST_RFmCSA</t>
  </si>
  <si>
    <t>Data in cm2</t>
  </si>
  <si>
    <t>PRE_MT</t>
  </si>
  <si>
    <t>POST_MT</t>
  </si>
  <si>
    <t>PRE_VL_CSA</t>
  </si>
  <si>
    <t>POST_VL_CSA</t>
  </si>
  <si>
    <t>PRE_RF_CSA</t>
  </si>
  <si>
    <t>POST_RF_CSA</t>
  </si>
  <si>
    <t xml:space="preserve">S24 </t>
  </si>
  <si>
    <t>S26 (rep)</t>
  </si>
  <si>
    <t>PRE_dual-arm_DXA_LSTM</t>
  </si>
  <si>
    <t>POST_dual-arm_DXA_LSTM</t>
  </si>
  <si>
    <t>Pre SM mass calc.</t>
  </si>
  <si>
    <t>Post SM mass calc.</t>
  </si>
  <si>
    <t>PRE_dual-leg_DXA_LSTM</t>
  </si>
  <si>
    <t>POST_dual-leg_DXA_LSTM</t>
  </si>
  <si>
    <t>Breanna J. Mueller</t>
  </si>
  <si>
    <t>Time</t>
  </si>
  <si>
    <t>Muscle nitrates only</t>
  </si>
  <si>
    <t>Muscle nitrate+nitrite</t>
  </si>
  <si>
    <t>Final value (nanog Nitrate+Nitrite/mg protein)</t>
  </si>
  <si>
    <t>Final value (nanog Nitrite/mg protein)</t>
  </si>
  <si>
    <t>Final value (ng Nitrate/mg protein)</t>
  </si>
  <si>
    <t>SUBJECT</t>
  </si>
  <si>
    <t>PRE - HEX MAX</t>
  </si>
  <si>
    <t>REPS</t>
  </si>
  <si>
    <t>PRE - HEX ENDURANCE</t>
  </si>
  <si>
    <t>POST - HEX MAX</t>
  </si>
  <si>
    <t>POST - HEX ENDURANCE</t>
  </si>
  <si>
    <t>S05*</t>
  </si>
  <si>
    <t>did v squat instead of deadlift throughtout duration of study</t>
  </si>
  <si>
    <t>S11*</t>
  </si>
  <si>
    <t>did leg press for pre and post</t>
  </si>
  <si>
    <t>PRE_Predicted 1 RM</t>
  </si>
  <si>
    <t>Notes: A multiple hex-bar deadlift RM test was administered as we have previously reported (REFs).  Maximal attempts were confined to 3-5 repetitions, and a predicted 1RM was calculated according to percentage conversions provided by the National Strength and Conditioning Association (REF).</t>
  </si>
  <si>
    <t>POST_Predicted 1 RM</t>
  </si>
  <si>
    <t>PRE_Hexbar endurance volume</t>
  </si>
  <si>
    <t>POST_Hexbar endurance volume</t>
  </si>
  <si>
    <t>Did not complete because of hip issue</t>
  </si>
  <si>
    <t>Did not complete because of stitches</t>
  </si>
  <si>
    <t>Pre- END % REP TEST</t>
  </si>
  <si>
    <t>%1RM weight used</t>
  </si>
  <si>
    <t>Approximately 5 minutes following RM testing a hexbar deadlift repetition to fatigue test was also performed at pre- and post-intervention using 60-65% of the weight participants executed for the RM test. The number of repetitions completed were counted and the product of load and repetitions was tabulated as total volume performed during this strength-endurance assessment.</t>
  </si>
  <si>
    <t>Data in total kg</t>
  </si>
  <si>
    <t>PRE_Hexbar end. volume</t>
  </si>
  <si>
    <t>POST_Hexbar end. volume</t>
  </si>
  <si>
    <t>Yes, supplement admin and histology</t>
  </si>
  <si>
    <t>goodlmd@auburn.edu</t>
  </si>
  <si>
    <t>hzk0084@auburn.edu</t>
  </si>
  <si>
    <t>delta</t>
  </si>
  <si>
    <t>Muscle nitrates only (ng/mg muscle protein)</t>
  </si>
  <si>
    <t>Muscle nitrate+nitrite (ng/mg muscle protein)</t>
  </si>
  <si>
    <t>Did not fit on DXA</t>
  </si>
  <si>
    <t>Did not fit on DXA scanner</t>
  </si>
  <si>
    <t>VEGF protein</t>
  </si>
  <si>
    <t>TSP-1 protein</t>
  </si>
  <si>
    <t>VEGFR2 protein</t>
  </si>
  <si>
    <t>TFEB protein</t>
  </si>
  <si>
    <t>pan eNOS protein</t>
  </si>
  <si>
    <t>phospho eNOS (Ser1177)</t>
  </si>
  <si>
    <t>2 Std Dev</t>
  </si>
  <si>
    <t>%change from PRE</t>
  </si>
  <si>
    <t>No DAPI</t>
  </si>
  <si>
    <t>X</t>
  </si>
  <si>
    <t>No CD31</t>
  </si>
  <si>
    <t>Data in micrometers squared</t>
  </si>
  <si>
    <t>PRE_type I</t>
  </si>
  <si>
    <t>POST_type I</t>
  </si>
  <si>
    <t>PRE_type II</t>
  </si>
  <si>
    <t>POST_type II</t>
  </si>
  <si>
    <t>Fiber counts</t>
  </si>
  <si>
    <t>Pre type II fiber %</t>
  </si>
  <si>
    <t>Post type II fiber %</t>
  </si>
  <si>
    <t>Part Period #</t>
  </si>
  <si>
    <t>Pre_x</t>
  </si>
  <si>
    <t>Pre_y</t>
  </si>
  <si>
    <t>Post_x</t>
  </si>
  <si>
    <t>Post_y</t>
  </si>
  <si>
    <t>Pre dimensions</t>
  </si>
  <si>
    <t>Post dimensions</t>
  </si>
  <si>
    <t>Post/Pre pixel dimensions</t>
  </si>
  <si>
    <t>Sum Pre counts</t>
  </si>
  <si>
    <t>Sum post counts</t>
  </si>
  <si>
    <t>Pre - Heart Rate Average</t>
  </si>
  <si>
    <t>Pre - Systolic Average</t>
  </si>
  <si>
    <t>Pre - Diastolic Average</t>
  </si>
  <si>
    <t>Post - Heart Rate Average</t>
  </si>
  <si>
    <t>Post - Systolic Average</t>
  </si>
  <si>
    <t>Post - Diastolic Average</t>
  </si>
  <si>
    <t>Pre - MAP Average</t>
  </si>
  <si>
    <t>Post - MAP Average</t>
  </si>
  <si>
    <t>Data in caps/fiber</t>
  </si>
  <si>
    <t>Base Diam T1 (mm)</t>
  </si>
  <si>
    <t>Base Diam T2 (mm)</t>
  </si>
  <si>
    <t>PEAK FMD T1 (mm)</t>
  </si>
  <si>
    <t>PEAK FMD T2 (mm)</t>
  </si>
  <si>
    <t>Rest BF T1 (ml/min)</t>
  </si>
  <si>
    <t>Rest BF T2 (ml/min)</t>
  </si>
  <si>
    <t>Peak BF T1 (ml/min)</t>
  </si>
  <si>
    <t>Peak BF T2 (ml/min)</t>
  </si>
  <si>
    <t>Relative FMD (%) T1</t>
  </si>
  <si>
    <t>Relative FMD (%) T2</t>
  </si>
  <si>
    <t>Norm FMD T1 (%/s)</t>
  </si>
  <si>
    <t>Norm FMD T2 (%/s)</t>
  </si>
  <si>
    <t>Subject</t>
  </si>
  <si>
    <t>Norm FMD T1</t>
  </si>
  <si>
    <t>Norm FMD T2</t>
  </si>
  <si>
    <t>Y</t>
  </si>
  <si>
    <t>N</t>
  </si>
  <si>
    <t>S011</t>
  </si>
  <si>
    <t>S012</t>
  </si>
  <si>
    <t>S029</t>
  </si>
  <si>
    <t>S031</t>
  </si>
  <si>
    <t>S032</t>
  </si>
  <si>
    <t>S036</t>
  </si>
  <si>
    <t>correl T1 Norm w_deltVL</t>
  </si>
  <si>
    <t>correl T1 relFMD w_deltVL</t>
  </si>
  <si>
    <t>delta_relFMD</t>
  </si>
  <si>
    <t>delta_normFMD</t>
  </si>
  <si>
    <t>All participants (for correl)</t>
  </si>
  <si>
    <t>% adherence</t>
  </si>
  <si>
    <t>Patient.ID</t>
  </si>
  <si>
    <t>BMI</t>
  </si>
  <si>
    <t xml:space="preserve">NORE-S01 </t>
  </si>
  <si>
    <t xml:space="preserve">NORE-S04 </t>
  </si>
  <si>
    <t xml:space="preserve">NORE-S05 </t>
  </si>
  <si>
    <t xml:space="preserve">NORE-S06 </t>
  </si>
  <si>
    <t xml:space="preserve">NORE-S07 </t>
  </si>
  <si>
    <t xml:space="preserve">NORE-S08 </t>
  </si>
  <si>
    <t xml:space="preserve">NORE-S10 </t>
  </si>
  <si>
    <t xml:space="preserve">NORE-S11 </t>
  </si>
  <si>
    <t xml:space="preserve">NORE-S12 </t>
  </si>
  <si>
    <t xml:space="preserve">NORE-S14 </t>
  </si>
  <si>
    <t xml:space="preserve">NORE-S16 </t>
  </si>
  <si>
    <t xml:space="preserve">NORE-S17 </t>
  </si>
  <si>
    <t xml:space="preserve">NORE-S19 </t>
  </si>
  <si>
    <t xml:space="preserve">NORE-S22 </t>
  </si>
  <si>
    <t xml:space="preserve">NORE-S23 </t>
  </si>
  <si>
    <t xml:space="preserve">NORE-S24 </t>
  </si>
  <si>
    <t xml:space="preserve">NORE-S25 </t>
  </si>
  <si>
    <t xml:space="preserve">NORE-S26 </t>
  </si>
  <si>
    <t xml:space="preserve">NORE-S27 </t>
  </si>
  <si>
    <t xml:space="preserve">NORE-S28 </t>
  </si>
  <si>
    <t xml:space="preserve">NORE-S29 </t>
  </si>
  <si>
    <t xml:space="preserve">NORE-S31 </t>
  </si>
  <si>
    <t xml:space="preserve">NORE-S33 </t>
  </si>
  <si>
    <t xml:space="preserve">NORE-S34 </t>
  </si>
  <si>
    <t xml:space="preserve">NORE-S35 </t>
  </si>
  <si>
    <t xml:space="preserve">NORE-S36 </t>
  </si>
  <si>
    <t>Weight_kg</t>
  </si>
  <si>
    <t>Height_cm</t>
  </si>
  <si>
    <t>T-test b-in</t>
  </si>
  <si>
    <t>NORE-S32</t>
  </si>
  <si>
    <t xml:space="preserve">NORE-S18 </t>
  </si>
  <si>
    <t>Supplement</t>
  </si>
  <si>
    <t>Pre Deflate (mm)</t>
  </si>
  <si>
    <t>Absolute FMD (mm) T1</t>
  </si>
  <si>
    <t>Absolute FMD  (mm) T2</t>
  </si>
  <si>
    <t>Rest Blood Vel T1 (cm/s)</t>
  </si>
  <si>
    <t>Rest Blood Vel T2 (cm/s)</t>
  </si>
  <si>
    <t>Base Peak Blooc Vel T1 (cm/s)</t>
  </si>
  <si>
    <t>Base Peak Blood Vel T2 (cm/s)</t>
  </si>
  <si>
    <t>FMD Peak Blood Vel T1 (cm/s)</t>
  </si>
  <si>
    <t>FMD Peak Blood Vel T2 (cm/s)</t>
  </si>
  <si>
    <t>Avg Blood Vel T1 (cm/s)</t>
  </si>
  <si>
    <t>Avg Blood Vel T2 (cm/s)</t>
  </si>
  <si>
    <t>Avg BF T1 (ml/min)</t>
  </si>
  <si>
    <t>Avg BF T2 (ml/min)</t>
  </si>
  <si>
    <t>Base SR T1</t>
  </si>
  <si>
    <t>Base SR T2</t>
  </si>
  <si>
    <t>Peak SR T1</t>
  </si>
  <si>
    <t>Peak SR T2</t>
  </si>
  <si>
    <t>Avg SR T1</t>
  </si>
  <si>
    <t>Avg SR T2</t>
  </si>
  <si>
    <t>SR AUC T1</t>
  </si>
  <si>
    <t>SR AUC T2</t>
  </si>
  <si>
    <t>PLA</t>
  </si>
  <si>
    <t>BRJ</t>
  </si>
  <si>
    <t>S010</t>
  </si>
  <si>
    <t>S014</t>
  </si>
  <si>
    <t>S016</t>
  </si>
  <si>
    <t>S017</t>
  </si>
  <si>
    <t>S018</t>
  </si>
  <si>
    <t>S019</t>
  </si>
  <si>
    <t>S021</t>
  </si>
  <si>
    <t>S022</t>
  </si>
  <si>
    <t>S023</t>
  </si>
  <si>
    <t>S024</t>
  </si>
  <si>
    <t>S025</t>
  </si>
  <si>
    <t>S026</t>
  </si>
  <si>
    <t>S027</t>
  </si>
  <si>
    <t>S028</t>
  </si>
  <si>
    <t>S030</t>
  </si>
  <si>
    <t>S033</t>
  </si>
  <si>
    <t>S034</t>
  </si>
  <si>
    <t>S035</t>
  </si>
  <si>
    <t xml:space="preserve"> </t>
  </si>
  <si>
    <t>Log Dbase T1</t>
  </si>
  <si>
    <t>Log Dpeak T2</t>
  </si>
  <si>
    <t>Ddifflogs T1</t>
  </si>
  <si>
    <t>Ddifflogs T2</t>
  </si>
  <si>
    <t>Original paper data</t>
  </si>
  <si>
    <t>Data in response to reviewer comments</t>
  </si>
  <si>
    <t>∆_VLmCSA</t>
  </si>
  <si>
    <t>correl ∆ relFMD w_deltVL</t>
  </si>
  <si>
    <t>correl ∆ Norm w_deltVL</t>
  </si>
  <si>
    <t>Log Dbase T2</t>
  </si>
  <si>
    <t>Log Dpeak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</si>
</sst>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0"/>
    <numFmt numFmtId="167" formatCode="0.0000"/>
  </numFmts>
  <fonts count="17" x14ac:knownFonts="1">
    <font>
      <sz val="11"/>
      <color theme="1"/>
      <name val="Aptos Narrow"/>
      <family val="2"/>
      <scheme val="minor"/>
    </font>
    <font>
      <b/>
      <sz val="11"/>
      <color theme="1"/>
      <name val="Aptos Narrow"/>
      <family val="2"/>
      <scheme val="minor"/>
    </font>
    <font>
      <b/>
      <sz val="11"/>
      <color theme="1"/>
      <name val="Aptos"/>
      <family val="2"/>
    </font>
    <font>
      <sz val="11"/>
      <color theme="1"/>
      <name val="Aptos"/>
      <family val="2"/>
    </font>
    <font>
      <sz val="8"/>
      <name val="Aptos Narrow"/>
      <family val="2"/>
      <scheme val="minor"/>
    </font>
    <font>
      <u/>
      <sz val="11"/>
      <color theme="10"/>
      <name val="Aptos Narrow"/>
      <family val="2"/>
      <scheme val="minor"/>
    </font>
    <font>
      <sz val="11"/>
      <color theme="0"/>
      <name val="Aptos"/>
      <family val="2"/>
    </font>
    <font>
      <sz val="11"/>
      <name val="Aptos"/>
      <family val="2"/>
    </font>
    <font>
      <b/>
      <sz val="11"/>
      <name val="Aptos"/>
      <family val="2"/>
    </font>
    <font>
      <sz val="11"/>
      <color theme="0"/>
      <name val="Aptos Narrow"/>
      <family val="2"/>
      <scheme val="minor"/>
    </font>
    <font>
      <sz val="11"/>
      <color theme="1"/>
      <name val="Arial"/>
      <family val="2"/>
    </font>
    <font>
      <u/>
      <sz val="11"/>
      <color theme="0"/>
      <name val="Aptos Narrow"/>
      <family val="2"/>
      <scheme val="minor"/>
    </font>
    <font>
      <sz val="12"/>
      <color rgb="FF545D7E"/>
      <name val="Courier New"/>
      <family val="3"/>
    </font>
    <font>
      <sz val="14"/>
      <color theme="1"/>
      <name val="Aptos Narrow"/>
      <family val="2"/>
      <scheme val="minor"/>
    </font>
    <font>
      <sz val="14"/>
      <color rgb="FFC00000"/>
      <name val="Aptos Narrow"/>
      <family val="2"/>
      <scheme val="minor"/>
    </font>
    <font>
      <b/>
      <sz val="14"/>
      <color theme="1"/>
      <name val="Aptos Narrow"/>
      <family val="2"/>
      <scheme val="minor"/>
    </font>
    <font>
      <b/>
      <sz val="14"/>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rgb="FFFFFF00"/>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204">
    <xf numFmtId="0" fontId="0" fillId="0" borderId="0" xfId="0"/>
    <xf numFmtId="0" fontId="0" fillId="0" borderId="0" xfId="0" applyAlignment="1">
      <alignment horizontal="center"/>
    </xf>
    <xf numFmtId="0" fontId="0" fillId="2" borderId="0" xfId="0" applyFill="1" applyAlignment="1">
      <alignment horizontal="center"/>
    </xf>
    <xf numFmtId="0" fontId="2" fillId="0" borderId="0" xfId="0"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1" fontId="2" fillId="0" borderId="0" xfId="0" applyNumberFormat="1" applyFont="1" applyAlignment="1">
      <alignment horizontal="center"/>
    </xf>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1" xfId="0" applyFont="1" applyBorder="1" applyAlignment="1">
      <alignment horizontal="center"/>
    </xf>
    <xf numFmtId="0" fontId="3" fillId="0" borderId="1" xfId="0" quotePrefix="1" applyFont="1" applyBorder="1" applyAlignment="1">
      <alignment horizontal="center"/>
    </xf>
    <xf numFmtId="0" fontId="3" fillId="0" borderId="1" xfId="0" applyFont="1" applyBorder="1" applyAlignment="1">
      <alignment horizontal="center"/>
    </xf>
    <xf numFmtId="2" fontId="3" fillId="0" borderId="1" xfId="0" quotePrefix="1" applyNumberFormat="1" applyFont="1" applyBorder="1" applyAlignment="1">
      <alignment horizontal="center"/>
    </xf>
    <xf numFmtId="0" fontId="3" fillId="0" borderId="0" xfId="0" applyFont="1" applyAlignment="1">
      <alignment horizontal="left"/>
    </xf>
    <xf numFmtId="0" fontId="0" fillId="3" borderId="0" xfId="0" applyFill="1"/>
    <xf numFmtId="0" fontId="0" fillId="2" borderId="0" xfId="0" applyFill="1"/>
    <xf numFmtId="0" fontId="1" fillId="0" borderId="1" xfId="0" applyFont="1" applyBorder="1" applyAlignment="1">
      <alignment horizontal="center"/>
    </xf>
    <xf numFmtId="0" fontId="1" fillId="0" borderId="3" xfId="0" applyFont="1" applyBorder="1" applyAlignment="1">
      <alignment horizontal="center"/>
    </xf>
    <xf numFmtId="0" fontId="5" fillId="0" borderId="0" xfId="1"/>
    <xf numFmtId="0" fontId="2" fillId="0" borderId="1" xfId="0" applyFont="1" applyBorder="1" applyAlignment="1">
      <alignment horizontal="center" vertical="center" wrapText="1"/>
    </xf>
    <xf numFmtId="0" fontId="3" fillId="0" borderId="0" xfId="0" quotePrefix="1" applyFont="1" applyAlignment="1">
      <alignment horizontal="center"/>
    </xf>
    <xf numFmtId="0" fontId="6" fillId="4" borderId="0" xfId="0" applyFont="1" applyFill="1" applyAlignment="1">
      <alignment horizontal="center"/>
    </xf>
    <xf numFmtId="165" fontId="6" fillId="4" borderId="0" xfId="0" applyNumberFormat="1" applyFont="1" applyFill="1" applyAlignment="1">
      <alignment horizontal="center"/>
    </xf>
    <xf numFmtId="164" fontId="0" fillId="2" borderId="0" xfId="0" applyNumberFormat="1" applyFill="1"/>
    <xf numFmtId="0" fontId="0" fillId="4" borderId="0" xfId="0" applyFill="1"/>
    <xf numFmtId="2" fontId="0" fillId="0" borderId="0" xfId="0" applyNumberFormat="1" applyAlignment="1">
      <alignment horizontal="center"/>
    </xf>
    <xf numFmtId="164" fontId="0" fillId="0" borderId="0" xfId="0" applyNumberFormat="1"/>
    <xf numFmtId="0" fontId="0" fillId="5" borderId="0" xfId="0" applyFill="1"/>
    <xf numFmtId="0" fontId="2" fillId="5" borderId="0" xfId="0" applyFont="1" applyFill="1" applyAlignment="1">
      <alignment horizontal="center"/>
    </xf>
    <xf numFmtId="0" fontId="0" fillId="5" borderId="0" xfId="0" applyFill="1" applyAlignment="1">
      <alignment horizontal="center"/>
    </xf>
    <xf numFmtId="0" fontId="3" fillId="5" borderId="0" xfId="0" applyFont="1" applyFill="1" applyAlignment="1">
      <alignment horizontal="center"/>
    </xf>
    <xf numFmtId="165" fontId="0" fillId="5" borderId="0" xfId="0" applyNumberFormat="1" applyFill="1" applyAlignment="1">
      <alignment horizontal="center"/>
    </xf>
    <xf numFmtId="165" fontId="3" fillId="5" borderId="0" xfId="0" applyNumberFormat="1" applyFont="1" applyFill="1" applyAlignment="1">
      <alignment horizontal="center"/>
    </xf>
    <xf numFmtId="165" fontId="2" fillId="5" borderId="0" xfId="0" applyNumberFormat="1" applyFont="1" applyFill="1" applyAlignment="1">
      <alignment horizontal="center"/>
    </xf>
    <xf numFmtId="164" fontId="0" fillId="5" borderId="0" xfId="0" applyNumberFormat="1" applyFill="1"/>
    <xf numFmtId="164" fontId="2" fillId="5" borderId="0" xfId="0" applyNumberFormat="1" applyFont="1" applyFill="1" applyAlignment="1">
      <alignment horizontal="center"/>
    </xf>
    <xf numFmtId="1" fontId="2" fillId="5" borderId="0" xfId="0" applyNumberFormat="1" applyFont="1" applyFill="1" applyAlignment="1">
      <alignment horizontal="center"/>
    </xf>
    <xf numFmtId="0" fontId="3" fillId="5" borderId="0" xfId="0" applyFont="1" applyFill="1"/>
    <xf numFmtId="0" fontId="3" fillId="0" borderId="0" xfId="0" applyFont="1"/>
    <xf numFmtId="164" fontId="3" fillId="5" borderId="0" xfId="0" applyNumberFormat="1" applyFont="1" applyFill="1"/>
    <xf numFmtId="164" fontId="3" fillId="0" borderId="0" xfId="0" applyNumberFormat="1" applyFont="1"/>
    <xf numFmtId="1" fontId="3" fillId="5" borderId="0" xfId="0" applyNumberFormat="1" applyFont="1" applyFill="1" applyAlignment="1">
      <alignment horizontal="center"/>
    </xf>
    <xf numFmtId="1" fontId="0" fillId="0" borderId="0" xfId="0" applyNumberFormat="1" applyAlignment="1">
      <alignment horizontal="center"/>
    </xf>
    <xf numFmtId="2" fontId="3" fillId="0" borderId="0" xfId="0" applyNumberFormat="1" applyFont="1" applyAlignment="1">
      <alignment horizontal="center"/>
    </xf>
    <xf numFmtId="1" fontId="3" fillId="0" borderId="0" xfId="0" applyNumberFormat="1" applyFont="1"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164" fontId="3" fillId="0" borderId="0" xfId="0" applyNumberFormat="1" applyFont="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2" xfId="0" applyFont="1" applyBorder="1"/>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2" fillId="0" borderId="0" xfId="0" applyFont="1"/>
    <xf numFmtId="0" fontId="2" fillId="0" borderId="8" xfId="0" applyFont="1" applyBorder="1" applyAlignment="1">
      <alignment horizontal="center"/>
    </xf>
    <xf numFmtId="0" fontId="3" fillId="0" borderId="14" xfId="0" applyFont="1" applyBorder="1" applyAlignment="1">
      <alignment horizontal="center"/>
    </xf>
    <xf numFmtId="0" fontId="3" fillId="0" borderId="15" xfId="0" applyFont="1" applyBorder="1"/>
    <xf numFmtId="0" fontId="3" fillId="0" borderId="12" xfId="0" applyFont="1" applyBorder="1"/>
    <xf numFmtId="0" fontId="3" fillId="5" borderId="11" xfId="0" applyFont="1" applyFill="1" applyBorder="1" applyAlignment="1">
      <alignment horizontal="center"/>
    </xf>
    <xf numFmtId="0" fontId="3" fillId="5" borderId="1" xfId="0" applyFont="1" applyFill="1" applyBorder="1" applyAlignment="1">
      <alignment horizontal="center"/>
    </xf>
    <xf numFmtId="0" fontId="3" fillId="5" borderId="5" xfId="0" applyFont="1" applyFill="1" applyBorder="1" applyAlignment="1">
      <alignment horizontal="center"/>
    </xf>
    <xf numFmtId="0" fontId="3" fillId="5" borderId="6" xfId="0" applyFont="1" applyFill="1" applyBorder="1" applyAlignment="1">
      <alignment horizontal="center"/>
    </xf>
    <xf numFmtId="0" fontId="3" fillId="5" borderId="8" xfId="0" applyFont="1" applyFill="1" applyBorder="1" applyAlignment="1">
      <alignment horizontal="center"/>
    </xf>
    <xf numFmtId="0" fontId="3" fillId="5" borderId="9"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0" borderId="8" xfId="0" applyFont="1" applyBorder="1"/>
    <xf numFmtId="164" fontId="3" fillId="0" borderId="8" xfId="0" applyNumberFormat="1" applyFont="1" applyBorder="1" applyAlignment="1">
      <alignment horizontal="center"/>
    </xf>
    <xf numFmtId="165" fontId="3" fillId="0" borderId="8" xfId="0" applyNumberFormat="1" applyFont="1" applyBorder="1" applyAlignment="1">
      <alignment horizontal="center"/>
    </xf>
    <xf numFmtId="0" fontId="3" fillId="0" borderId="5" xfId="0" applyFont="1" applyBorder="1"/>
    <xf numFmtId="164" fontId="3" fillId="0" borderId="5" xfId="0" applyNumberFormat="1" applyFont="1" applyBorder="1" applyAlignment="1">
      <alignment horizontal="center"/>
    </xf>
    <xf numFmtId="165" fontId="3" fillId="0" borderId="5" xfId="0" applyNumberFormat="1" applyFont="1" applyBorder="1" applyAlignment="1">
      <alignment horizontal="center"/>
    </xf>
    <xf numFmtId="0" fontId="7" fillId="0" borderId="0" xfId="0" applyFont="1"/>
    <xf numFmtId="0" fontId="7" fillId="0" borderId="8" xfId="0" applyFont="1" applyBorder="1"/>
    <xf numFmtId="0" fontId="7" fillId="0" borderId="5" xfId="0" applyFont="1" applyBorder="1"/>
    <xf numFmtId="0" fontId="8" fillId="0" borderId="8" xfId="0" applyFont="1" applyBorder="1"/>
    <xf numFmtId="0" fontId="2" fillId="0" borderId="8" xfId="0" applyFont="1" applyBorder="1"/>
    <xf numFmtId="0" fontId="3" fillId="0" borderId="4" xfId="0" applyFont="1" applyBorder="1"/>
    <xf numFmtId="0" fontId="3" fillId="0" borderId="6" xfId="0" applyFont="1" applyBorder="1"/>
    <xf numFmtId="0" fontId="3" fillId="0" borderId="14" xfId="0" applyFont="1" applyBorder="1"/>
    <xf numFmtId="0" fontId="3" fillId="0" borderId="7" xfId="0" applyFont="1" applyBorder="1"/>
    <xf numFmtId="0" fontId="3" fillId="0" borderId="9" xfId="0" applyFont="1" applyBorder="1"/>
    <xf numFmtId="0" fontId="3" fillId="0" borderId="7" xfId="0" applyFont="1" applyBorder="1" applyAlignment="1">
      <alignment horizontal="right"/>
    </xf>
    <xf numFmtId="2" fontId="0" fillId="0" borderId="0" xfId="0" applyNumberFormat="1"/>
    <xf numFmtId="2" fontId="0" fillId="4" borderId="0" xfId="0" applyNumberFormat="1" applyFill="1" applyAlignment="1">
      <alignment horizontal="center"/>
    </xf>
    <xf numFmtId="164" fontId="0" fillId="2" borderId="0" xfId="0" applyNumberFormat="1" applyFill="1" applyAlignment="1">
      <alignment horizontal="center"/>
    </xf>
    <xf numFmtId="2" fontId="2" fillId="0" borderId="0" xfId="0" applyNumberFormat="1" applyFont="1" applyAlignment="1">
      <alignment horizontal="center"/>
    </xf>
    <xf numFmtId="0" fontId="1" fillId="0" borderId="0" xfId="0" applyFont="1"/>
    <xf numFmtId="164" fontId="1" fillId="0" borderId="0" xfId="0" applyNumberFormat="1" applyFont="1"/>
    <xf numFmtId="2" fontId="0" fillId="0" borderId="0" xfId="0" applyNumberFormat="1" applyAlignment="1">
      <alignment horizontal="left"/>
    </xf>
    <xf numFmtId="164" fontId="0" fillId="0" borderId="0" xfId="0" applyNumberFormat="1" applyAlignment="1">
      <alignment horizontal="center"/>
    </xf>
    <xf numFmtId="0" fontId="3" fillId="4" borderId="0" xfId="0" applyFont="1" applyFill="1"/>
    <xf numFmtId="164" fontId="3" fillId="2" borderId="0" xfId="0" applyNumberFormat="1" applyFont="1" applyFill="1"/>
    <xf numFmtId="0" fontId="3" fillId="4" borderId="0" xfId="0" applyFont="1" applyFill="1" applyAlignment="1">
      <alignment horizontal="center"/>
    </xf>
    <xf numFmtId="0" fontId="6" fillId="0" borderId="0" xfId="0" applyFont="1" applyAlignment="1">
      <alignment horizontal="center"/>
    </xf>
    <xf numFmtId="0" fontId="2" fillId="6" borderId="0" xfId="0" applyFont="1" applyFill="1" applyAlignment="1">
      <alignment horizontal="center"/>
    </xf>
    <xf numFmtId="0" fontId="3" fillId="6" borderId="0" xfId="0" applyFont="1" applyFill="1" applyAlignment="1">
      <alignment horizontal="center"/>
    </xf>
    <xf numFmtId="0" fontId="6" fillId="6" borderId="0" xfId="0" applyFont="1" applyFill="1" applyAlignment="1">
      <alignment horizontal="center"/>
    </xf>
    <xf numFmtId="0" fontId="3" fillId="2" borderId="0" xfId="0" applyFont="1" applyFill="1"/>
    <xf numFmtId="1" fontId="3" fillId="0" borderId="0" xfId="0" applyNumberFormat="1" applyFont="1"/>
    <xf numFmtId="0" fontId="7" fillId="6" borderId="0" xfId="0" applyFont="1" applyFill="1" applyAlignment="1">
      <alignment horizontal="center"/>
    </xf>
    <xf numFmtId="0" fontId="10" fillId="0" borderId="0" xfId="0" applyFont="1" applyAlignment="1">
      <alignment horizontal="left"/>
    </xf>
    <xf numFmtId="164" fontId="9" fillId="4" borderId="0" xfId="0" applyNumberFormat="1" applyFont="1" applyFill="1" applyAlignment="1">
      <alignment horizontal="center"/>
    </xf>
    <xf numFmtId="2" fontId="0" fillId="0" borderId="0" xfId="0" applyNumberFormat="1" applyAlignment="1">
      <alignment horizontal="right"/>
    </xf>
    <xf numFmtId="2" fontId="3" fillId="5" borderId="0" xfId="0" applyNumberFormat="1" applyFont="1" applyFill="1" applyAlignment="1">
      <alignment horizontal="right"/>
    </xf>
    <xf numFmtId="2" fontId="3" fillId="0" borderId="0" xfId="0" applyNumberFormat="1" applyFont="1" applyAlignment="1">
      <alignment horizontal="right"/>
    </xf>
    <xf numFmtId="2" fontId="6" fillId="4" borderId="0" xfId="0" applyNumberFormat="1" applyFont="1" applyFill="1" applyAlignment="1">
      <alignment horizontal="right"/>
    </xf>
    <xf numFmtId="0" fontId="2" fillId="0" borderId="16" xfId="0" applyFont="1" applyBorder="1" applyAlignment="1">
      <alignment horizontal="center"/>
    </xf>
    <xf numFmtId="0" fontId="2" fillId="0" borderId="17" xfId="0" applyFont="1" applyBorder="1" applyAlignment="1">
      <alignment horizontal="center"/>
    </xf>
    <xf numFmtId="2" fontId="3" fillId="0" borderId="18" xfId="0" applyNumberFormat="1" applyFont="1" applyBorder="1" applyAlignment="1">
      <alignment horizontal="center"/>
    </xf>
    <xf numFmtId="2" fontId="3" fillId="0" borderId="19" xfId="0" applyNumberFormat="1" applyFont="1" applyBorder="1" applyAlignment="1">
      <alignment horizontal="center"/>
    </xf>
    <xf numFmtId="165" fontId="2" fillId="0" borderId="18" xfId="0" applyNumberFormat="1" applyFont="1" applyBorder="1" applyAlignment="1">
      <alignment horizontal="center"/>
    </xf>
    <xf numFmtId="165" fontId="2" fillId="0" borderId="19" xfId="0" applyNumberFormat="1" applyFont="1" applyBorder="1" applyAlignment="1">
      <alignment horizontal="center"/>
    </xf>
    <xf numFmtId="0" fontId="3" fillId="0" borderId="18" xfId="0" applyFont="1" applyBorder="1"/>
    <xf numFmtId="164" fontId="3" fillId="2" borderId="19" xfId="0" applyNumberFormat="1" applyFont="1" applyFill="1" applyBorder="1"/>
    <xf numFmtId="0" fontId="3" fillId="0" borderId="19" xfId="0" applyFont="1" applyBorder="1"/>
    <xf numFmtId="0" fontId="2" fillId="0" borderId="18" xfId="0" applyFont="1" applyBorder="1" applyAlignment="1">
      <alignment horizontal="center"/>
    </xf>
    <xf numFmtId="0" fontId="2" fillId="0" borderId="19" xfId="0" applyFont="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3" fillId="0" borderId="20" xfId="0" applyFont="1" applyBorder="1"/>
    <xf numFmtId="164" fontId="3" fillId="2" borderId="21" xfId="0" applyNumberFormat="1" applyFont="1" applyFill="1" applyBorder="1"/>
    <xf numFmtId="2" fontId="0" fillId="5" borderId="0" xfId="0" applyNumberFormat="1" applyFill="1" applyAlignment="1">
      <alignment horizontal="center"/>
    </xf>
    <xf numFmtId="0" fontId="0" fillId="0" borderId="16" xfId="0" applyBorder="1"/>
    <xf numFmtId="0" fontId="0" fillId="0" borderId="22" xfId="0" applyBorder="1"/>
    <xf numFmtId="0" fontId="0" fillId="0" borderId="17" xfId="0" applyBorder="1"/>
    <xf numFmtId="2" fontId="0" fillId="0" borderId="18" xfId="0" applyNumberFormat="1" applyBorder="1" applyAlignment="1">
      <alignment horizontal="center"/>
    </xf>
    <xf numFmtId="2" fontId="0" fillId="0" borderId="19" xfId="0" applyNumberFormat="1" applyBorder="1" applyAlignment="1">
      <alignment horizontal="center"/>
    </xf>
    <xf numFmtId="0" fontId="0" fillId="4" borderId="18" xfId="0" applyFill="1" applyBorder="1"/>
    <xf numFmtId="0" fontId="0" fillId="4" borderId="19" xfId="0" applyFill="1" applyBorder="1"/>
    <xf numFmtId="0" fontId="3" fillId="5" borderId="18" xfId="0" applyFont="1" applyFill="1" applyBorder="1" applyAlignment="1">
      <alignment horizontal="center"/>
    </xf>
    <xf numFmtId="0" fontId="3" fillId="5" borderId="19" xfId="0" applyFont="1" applyFill="1" applyBorder="1" applyAlignment="1">
      <alignment horizontal="center"/>
    </xf>
    <xf numFmtId="0" fontId="0" fillId="0" borderId="18" xfId="0" applyBorder="1"/>
    <xf numFmtId="164" fontId="0" fillId="2" borderId="19" xfId="0" applyNumberFormat="1" applyFill="1" applyBorder="1"/>
    <xf numFmtId="0" fontId="0" fillId="0" borderId="19" xfId="0" applyBorder="1"/>
    <xf numFmtId="0" fontId="0" fillId="0" borderId="20" xfId="0" applyBorder="1"/>
    <xf numFmtId="164" fontId="0" fillId="2" borderId="23" xfId="0" applyNumberFormat="1" applyFill="1" applyBorder="1"/>
    <xf numFmtId="0" fontId="0" fillId="0" borderId="23" xfId="0" applyBorder="1"/>
    <xf numFmtId="164" fontId="0" fillId="2" borderId="21" xfId="0" applyNumberFormat="1" applyFill="1" applyBorder="1"/>
    <xf numFmtId="0" fontId="3" fillId="0" borderId="0" xfId="0" quotePrefix="1" applyFont="1"/>
    <xf numFmtId="166" fontId="3" fillId="0" borderId="0" xfId="0" applyNumberFormat="1" applyFont="1"/>
    <xf numFmtId="164" fontId="2" fillId="0" borderId="0" xfId="0" applyNumberFormat="1" applyFont="1"/>
    <xf numFmtId="0" fontId="9" fillId="4" borderId="0" xfId="0" applyFont="1" applyFill="1"/>
    <xf numFmtId="0" fontId="11" fillId="4" borderId="0" xfId="1" applyFont="1" applyFill="1"/>
    <xf numFmtId="0" fontId="9" fillId="4" borderId="0" xfId="0" applyFont="1" applyFill="1" applyAlignment="1">
      <alignment horizontal="center"/>
    </xf>
    <xf numFmtId="1" fontId="0" fillId="4" borderId="0" xfId="0" applyNumberFormat="1" applyFill="1"/>
    <xf numFmtId="1" fontId="0" fillId="3" borderId="0" xfId="0" applyNumberFormat="1" applyFill="1" applyAlignment="1">
      <alignment horizontal="center"/>
    </xf>
    <xf numFmtId="1" fontId="3" fillId="7" borderId="0" xfId="0" applyNumberFormat="1" applyFont="1" applyFill="1" applyAlignment="1">
      <alignment horizontal="center"/>
    </xf>
    <xf numFmtId="164" fontId="2" fillId="2" borderId="0" xfId="0" applyNumberFormat="1" applyFont="1" applyFill="1"/>
    <xf numFmtId="0" fontId="12" fillId="0" borderId="0" xfId="0" applyFont="1"/>
    <xf numFmtId="0" fontId="2" fillId="2" borderId="0" xfId="0" applyFont="1" applyFill="1" applyAlignment="1">
      <alignment horizontal="center"/>
    </xf>
    <xf numFmtId="0" fontId="13" fillId="0" borderId="0" xfId="0" applyFont="1"/>
    <xf numFmtId="2" fontId="13" fillId="0" borderId="0" xfId="0" applyNumberFormat="1" applyFont="1"/>
    <xf numFmtId="0" fontId="14" fillId="0" borderId="0" xfId="0" applyFont="1"/>
    <xf numFmtId="2" fontId="13" fillId="8" borderId="0" xfId="0" applyNumberFormat="1" applyFont="1" applyFill="1"/>
    <xf numFmtId="165" fontId="13" fillId="0" borderId="0" xfId="0" applyNumberFormat="1" applyFont="1"/>
    <xf numFmtId="165" fontId="13" fillId="8" borderId="0" xfId="0" applyNumberFormat="1" applyFont="1" applyFill="1"/>
    <xf numFmtId="1" fontId="13" fillId="0" borderId="0" xfId="0" applyNumberFormat="1" applyFont="1"/>
    <xf numFmtId="1" fontId="13" fillId="8" borderId="0" xfId="0" applyNumberFormat="1" applyFont="1" applyFill="1"/>
    <xf numFmtId="0" fontId="13" fillId="8" borderId="0" xfId="0" applyFont="1" applyFill="1"/>
    <xf numFmtId="164" fontId="13" fillId="0" borderId="0" xfId="0" applyNumberFormat="1" applyFont="1"/>
    <xf numFmtId="164" fontId="13" fillId="8" borderId="0" xfId="0" applyNumberFormat="1" applyFont="1" applyFill="1"/>
    <xf numFmtId="0" fontId="15" fillId="0" borderId="0" xfId="0" applyFont="1"/>
    <xf numFmtId="0" fontId="16" fillId="0" borderId="0" xfId="0" applyFont="1"/>
    <xf numFmtId="2" fontId="15" fillId="0" borderId="0" xfId="0" applyNumberFormat="1" applyFont="1"/>
    <xf numFmtId="0" fontId="3" fillId="0" borderId="16" xfId="0" applyFont="1" applyBorder="1" applyAlignment="1">
      <alignment horizontal="center"/>
    </xf>
    <xf numFmtId="0" fontId="3" fillId="0" borderId="18" xfId="0" applyFont="1" applyBorder="1" applyAlignment="1">
      <alignment horizontal="center"/>
    </xf>
    <xf numFmtId="0" fontId="6" fillId="4" borderId="18" xfId="0" applyFont="1" applyFill="1" applyBorder="1" applyAlignment="1">
      <alignment horizontal="center"/>
    </xf>
    <xf numFmtId="0" fontId="3" fillId="0" borderId="18" xfId="0" applyFont="1" applyBorder="1" applyAlignment="1">
      <alignment horizontal="left"/>
    </xf>
    <xf numFmtId="0" fontId="3" fillId="2" borderId="22" xfId="0" applyFont="1" applyFill="1" applyBorder="1" applyAlignment="1">
      <alignment horizontal="center"/>
    </xf>
    <xf numFmtId="0" fontId="3" fillId="2" borderId="22" xfId="0" applyFont="1" applyFill="1" applyBorder="1"/>
    <xf numFmtId="0" fontId="3" fillId="0" borderId="22" xfId="0" applyFont="1" applyBorder="1"/>
    <xf numFmtId="0" fontId="3" fillId="0" borderId="17" xfId="0" applyFont="1" applyBorder="1"/>
    <xf numFmtId="0" fontId="2" fillId="2" borderId="19" xfId="0" applyFont="1" applyFill="1" applyBorder="1" applyAlignment="1">
      <alignment horizontal="center"/>
    </xf>
    <xf numFmtId="164" fontId="3" fillId="0" borderId="19" xfId="0" applyNumberFormat="1" applyFont="1" applyBorder="1" applyAlignment="1">
      <alignment horizontal="center"/>
    </xf>
    <xf numFmtId="2" fontId="3" fillId="4" borderId="0" xfId="0" applyNumberFormat="1" applyFont="1" applyFill="1" applyAlignment="1">
      <alignment horizontal="center"/>
    </xf>
    <xf numFmtId="2" fontId="3" fillId="0" borderId="0" xfId="0" applyNumberFormat="1" applyFont="1" applyAlignment="1">
      <alignment horizontal="left"/>
    </xf>
    <xf numFmtId="164" fontId="2" fillId="0" borderId="19" xfId="0" applyNumberFormat="1" applyFont="1" applyBorder="1"/>
    <xf numFmtId="0" fontId="3" fillId="0" borderId="19" xfId="0" applyFont="1" applyBorder="1" applyAlignment="1">
      <alignment horizontal="center"/>
    </xf>
    <xf numFmtId="0" fontId="3" fillId="0" borderId="0" xfId="0" applyFont="1" applyAlignment="1">
      <alignment horizontal="right"/>
    </xf>
    <xf numFmtId="2" fontId="3" fillId="0" borderId="0" xfId="0" applyNumberFormat="1" applyFont="1"/>
    <xf numFmtId="2" fontId="3" fillId="0" borderId="19" xfId="0" applyNumberFormat="1" applyFont="1" applyBorder="1"/>
    <xf numFmtId="0" fontId="3" fillId="0" borderId="23" xfId="0" applyFont="1" applyBorder="1"/>
    <xf numFmtId="2" fontId="3" fillId="0" borderId="23" xfId="0" applyNumberFormat="1" applyFont="1" applyBorder="1"/>
    <xf numFmtId="2" fontId="3" fillId="0" borderId="21" xfId="0" applyNumberFormat="1" applyFont="1" applyBorder="1"/>
    <xf numFmtId="0" fontId="3" fillId="2" borderId="22" xfId="0" applyFont="1" applyFill="1" applyBorder="1" applyAlignment="1">
      <alignment horizontal="left"/>
    </xf>
    <xf numFmtId="0" fontId="2" fillId="6" borderId="0" xfId="0" applyFont="1" applyFill="1"/>
    <xf numFmtId="167" fontId="3" fillId="6" borderId="0" xfId="0" applyNumberFormat="1" applyFont="1" applyFill="1"/>
    <xf numFmtId="167" fontId="3" fillId="0" borderId="0" xfId="0" applyNumberFormat="1" applyFont="1"/>
    <xf numFmtId="167" fontId="3" fillId="6" borderId="23" xfId="0" applyNumberFormat="1" applyFont="1" applyFill="1" applyBorder="1"/>
    <xf numFmtId="167" fontId="3" fillId="0" borderId="23" xfId="0" applyNumberFormat="1" applyFont="1" applyBorder="1"/>
    <xf numFmtId="0" fontId="10" fillId="0" borderId="0" xfId="0" applyFont="1" applyAlignment="1">
      <alignment horizont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mm0145@auburn.edu" TargetMode="External"/><Relationship Id="rId13" Type="http://schemas.openxmlformats.org/officeDocument/2006/relationships/hyperlink" Target="mailto:kgs0071@auburn.edu" TargetMode="External"/><Relationship Id="rId18" Type="http://schemas.openxmlformats.org/officeDocument/2006/relationships/hyperlink" Target="mailto:ank0012@auburn.edu" TargetMode="External"/><Relationship Id="rId3" Type="http://schemas.openxmlformats.org/officeDocument/2006/relationships/hyperlink" Target="mailto:bmp0049@auburn.edu" TargetMode="External"/><Relationship Id="rId21" Type="http://schemas.openxmlformats.org/officeDocument/2006/relationships/hyperlink" Target="mailto:georgekontos4663@gmail.com" TargetMode="External"/><Relationship Id="rId7" Type="http://schemas.openxmlformats.org/officeDocument/2006/relationships/hyperlink" Target="mailto:njk0013@auburn.edu" TargetMode="External"/><Relationship Id="rId12" Type="http://schemas.openxmlformats.org/officeDocument/2006/relationships/hyperlink" Target="mailto:kdh0077@auburn.edu" TargetMode="External"/><Relationship Id="rId17" Type="http://schemas.openxmlformats.org/officeDocument/2006/relationships/hyperlink" Target="mailto:ausrobin@iu.edu" TargetMode="External"/><Relationship Id="rId2" Type="http://schemas.openxmlformats.org/officeDocument/2006/relationships/hyperlink" Target="mailto:bzm0075@auburn.edu" TargetMode="External"/><Relationship Id="rId16" Type="http://schemas.openxmlformats.org/officeDocument/2006/relationships/hyperlink" Target="mailto:adf0003@auburn.edu" TargetMode="External"/><Relationship Id="rId20" Type="http://schemas.openxmlformats.org/officeDocument/2006/relationships/hyperlink" Target="mailto:dbeck@auburn.vcom.edu" TargetMode="External"/><Relationship Id="rId1" Type="http://schemas.openxmlformats.org/officeDocument/2006/relationships/hyperlink" Target="mailto:mzm0309@auburn.edu" TargetMode="External"/><Relationship Id="rId6" Type="http://schemas.openxmlformats.org/officeDocument/2006/relationships/hyperlink" Target="mailto:mlm0139@auburn.edu" TargetMode="External"/><Relationship Id="rId11" Type="http://schemas.openxmlformats.org/officeDocument/2006/relationships/hyperlink" Target="mailto:mkc0077@auburn.edu" TargetMode="External"/><Relationship Id="rId5" Type="http://schemas.openxmlformats.org/officeDocument/2006/relationships/hyperlink" Target="mailto:dzp0092@auburn.edu" TargetMode="External"/><Relationship Id="rId15" Type="http://schemas.openxmlformats.org/officeDocument/2006/relationships/hyperlink" Target="mailto:gladdlb@auburn.edu" TargetMode="External"/><Relationship Id="rId23" Type="http://schemas.openxmlformats.org/officeDocument/2006/relationships/hyperlink" Target="mailto:hzk0084@auburn.edu" TargetMode="External"/><Relationship Id="rId10" Type="http://schemas.openxmlformats.org/officeDocument/2006/relationships/hyperlink" Target="mailto:dtl0018@auburn.edu" TargetMode="External"/><Relationship Id="rId19" Type="http://schemas.openxmlformats.org/officeDocument/2006/relationships/hyperlink" Target="mailto:mdr0024@auburn.edu" TargetMode="External"/><Relationship Id="rId4" Type="http://schemas.openxmlformats.org/officeDocument/2006/relationships/hyperlink" Target="mailto:drt0028@auburn.edu" TargetMode="External"/><Relationship Id="rId9" Type="http://schemas.openxmlformats.org/officeDocument/2006/relationships/hyperlink" Target="mailto:daa0017@auburn.edu" TargetMode="External"/><Relationship Id="rId14" Type="http://schemas.openxmlformats.org/officeDocument/2006/relationships/hyperlink" Target="mailto:jroper@auburn.edu" TargetMode="External"/><Relationship Id="rId22" Type="http://schemas.openxmlformats.org/officeDocument/2006/relationships/hyperlink" Target="mailto:goodlmd@auburn.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AC40-C65E-491F-9FEA-7281FB9E6010}">
  <dimension ref="A1:L34"/>
  <sheetViews>
    <sheetView zoomScale="80" zoomScaleNormal="80" workbookViewId="0">
      <selection activeCell="A17" sqref="A17:L17"/>
    </sheetView>
  </sheetViews>
  <sheetFormatPr defaultColWidth="16.85546875" defaultRowHeight="15" x14ac:dyDescent="0.25"/>
  <cols>
    <col min="1" max="1" width="31.7109375" customWidth="1"/>
    <col min="2" max="2" width="63.28515625" bestFit="1" customWidth="1"/>
    <col min="3" max="3" width="28.5703125" bestFit="1" customWidth="1"/>
    <col min="4" max="4" width="34.42578125" bestFit="1" customWidth="1"/>
    <col min="5" max="5" width="30.42578125" bestFit="1" customWidth="1"/>
    <col min="6" max="6" width="20.5703125" bestFit="1" customWidth="1"/>
    <col min="7" max="7" width="38.5703125" customWidth="1"/>
    <col min="8" max="8" width="34.42578125" bestFit="1" customWidth="1"/>
    <col min="9" max="9" width="43.140625" customWidth="1"/>
    <col min="10" max="10" width="26.7109375" customWidth="1"/>
    <col min="11" max="11" width="26" customWidth="1"/>
    <col min="12" max="12" width="19.7109375" bestFit="1" customWidth="1"/>
  </cols>
  <sheetData>
    <row r="1" spans="1:12" x14ac:dyDescent="0.25">
      <c r="A1" t="s">
        <v>54</v>
      </c>
    </row>
    <row r="2" spans="1:12" x14ac:dyDescent="0.25">
      <c r="A2" s="15"/>
      <c r="B2" t="s">
        <v>59</v>
      </c>
    </row>
    <row r="3" spans="1:12" x14ac:dyDescent="0.25">
      <c r="A3" s="14"/>
      <c r="B3" t="s">
        <v>55</v>
      </c>
    </row>
    <row r="4" spans="1:12" x14ac:dyDescent="0.25">
      <c r="A4" t="s">
        <v>93</v>
      </c>
    </row>
    <row r="6" spans="1:12" x14ac:dyDescent="0.25">
      <c r="A6" s="200" t="s">
        <v>79</v>
      </c>
      <c r="B6" s="202" t="s">
        <v>47</v>
      </c>
      <c r="C6" s="202" t="s">
        <v>48</v>
      </c>
      <c r="D6" s="16" t="s">
        <v>60</v>
      </c>
      <c r="E6" s="16" t="s">
        <v>61</v>
      </c>
      <c r="F6" s="16" t="s">
        <v>62</v>
      </c>
      <c r="G6" s="16" t="s">
        <v>63</v>
      </c>
      <c r="H6" s="16" t="s">
        <v>64</v>
      </c>
      <c r="I6" s="16" t="s">
        <v>65</v>
      </c>
      <c r="J6" s="16" t="s">
        <v>72</v>
      </c>
      <c r="K6" s="16" t="s">
        <v>73</v>
      </c>
      <c r="L6" s="16" t="s">
        <v>80</v>
      </c>
    </row>
    <row r="7" spans="1:12" x14ac:dyDescent="0.25">
      <c r="A7" s="201"/>
      <c r="B7" s="203"/>
      <c r="C7" s="203"/>
      <c r="D7" s="17" t="s">
        <v>81</v>
      </c>
      <c r="E7" s="16" t="s">
        <v>89</v>
      </c>
      <c r="F7" s="16" t="s">
        <v>74</v>
      </c>
      <c r="G7" s="16" t="s">
        <v>68</v>
      </c>
      <c r="H7" s="16" t="s">
        <v>71</v>
      </c>
      <c r="I7" s="16" t="s">
        <v>111</v>
      </c>
      <c r="J7" s="16" t="s">
        <v>56</v>
      </c>
      <c r="K7" s="16" t="s">
        <v>57</v>
      </c>
      <c r="L7" s="16" t="s">
        <v>58</v>
      </c>
    </row>
    <row r="8" spans="1:12" x14ac:dyDescent="0.25">
      <c r="A8" t="s">
        <v>46</v>
      </c>
      <c r="B8" t="s">
        <v>49</v>
      </c>
      <c r="C8" s="18" t="s">
        <v>113</v>
      </c>
      <c r="D8" s="1" t="s">
        <v>103</v>
      </c>
      <c r="E8" s="1" t="s">
        <v>67</v>
      </c>
      <c r="F8" s="1" t="s">
        <v>66</v>
      </c>
      <c r="G8" s="1" t="s">
        <v>103</v>
      </c>
      <c r="H8" s="1" t="s">
        <v>110</v>
      </c>
      <c r="I8" s="1" t="s">
        <v>66</v>
      </c>
      <c r="J8" s="2"/>
      <c r="K8" s="2"/>
      <c r="L8" s="2"/>
    </row>
    <row r="9" spans="1:12" x14ac:dyDescent="0.25">
      <c r="A9" t="s">
        <v>293</v>
      </c>
      <c r="B9" t="s">
        <v>49</v>
      </c>
      <c r="C9" s="18" t="s">
        <v>114</v>
      </c>
      <c r="D9" s="1" t="s">
        <v>106</v>
      </c>
      <c r="E9" s="1"/>
      <c r="F9" s="1" t="s">
        <v>75</v>
      </c>
      <c r="G9" s="1" t="s">
        <v>101</v>
      </c>
      <c r="H9" s="1" t="s">
        <v>110</v>
      </c>
      <c r="I9" s="1" t="s">
        <v>66</v>
      </c>
      <c r="J9" s="14"/>
      <c r="K9" s="14"/>
      <c r="L9" s="14"/>
    </row>
    <row r="10" spans="1:12" x14ac:dyDescent="0.25">
      <c r="A10" t="s">
        <v>118</v>
      </c>
      <c r="B10" t="s">
        <v>49</v>
      </c>
      <c r="C10" s="18" t="s">
        <v>119</v>
      </c>
      <c r="D10" s="1"/>
      <c r="E10" s="1"/>
      <c r="F10" s="1"/>
      <c r="G10" s="1" t="s">
        <v>98</v>
      </c>
      <c r="H10" s="1"/>
      <c r="I10" s="1" t="s">
        <v>66</v>
      </c>
      <c r="J10" s="14"/>
      <c r="K10" s="14"/>
      <c r="L10" s="14"/>
    </row>
    <row r="11" spans="1:12" x14ac:dyDescent="0.25">
      <c r="A11" t="s">
        <v>126</v>
      </c>
      <c r="B11" t="s">
        <v>49</v>
      </c>
      <c r="C11" s="18" t="s">
        <v>127</v>
      </c>
      <c r="D11" s="1"/>
      <c r="E11" s="1"/>
      <c r="F11" s="1"/>
      <c r="G11" s="1" t="s">
        <v>100</v>
      </c>
      <c r="H11" s="1"/>
      <c r="I11" s="1" t="s">
        <v>66</v>
      </c>
      <c r="J11" s="14"/>
      <c r="K11" s="14"/>
      <c r="L11" s="14"/>
    </row>
    <row r="12" spans="1:12" x14ac:dyDescent="0.25">
      <c r="A12" t="s">
        <v>70</v>
      </c>
      <c r="B12" t="s">
        <v>49</v>
      </c>
      <c r="C12" s="18" t="s">
        <v>117</v>
      </c>
      <c r="D12" s="1"/>
      <c r="E12" s="1"/>
      <c r="F12" s="1"/>
      <c r="G12" s="1" t="s">
        <v>97</v>
      </c>
      <c r="H12" s="1"/>
      <c r="J12" s="14"/>
      <c r="K12" s="14"/>
      <c r="L12" s="14"/>
    </row>
    <row r="13" spans="1:12" x14ac:dyDescent="0.25">
      <c r="A13" t="s">
        <v>85</v>
      </c>
      <c r="B13" t="s">
        <v>49</v>
      </c>
      <c r="C13" s="18" t="s">
        <v>120</v>
      </c>
      <c r="D13" s="1"/>
      <c r="E13" s="1"/>
      <c r="F13" s="1"/>
      <c r="G13" s="1" t="s">
        <v>99</v>
      </c>
      <c r="H13" s="1" t="s">
        <v>108</v>
      </c>
      <c r="I13" s="1" t="s">
        <v>66</v>
      </c>
      <c r="J13" s="14"/>
      <c r="K13" s="14"/>
      <c r="L13" s="14"/>
    </row>
    <row r="14" spans="1:12" x14ac:dyDescent="0.25">
      <c r="A14" t="s">
        <v>121</v>
      </c>
      <c r="B14" t="s">
        <v>49</v>
      </c>
      <c r="C14" s="18" t="s">
        <v>122</v>
      </c>
      <c r="D14" s="1"/>
      <c r="E14" s="1"/>
      <c r="F14" s="1"/>
      <c r="G14" s="1" t="s">
        <v>100</v>
      </c>
      <c r="H14" s="1"/>
      <c r="I14" s="1" t="s">
        <v>66</v>
      </c>
      <c r="J14" s="14"/>
      <c r="K14" s="14"/>
      <c r="L14" s="14"/>
    </row>
    <row r="15" spans="1:12" x14ac:dyDescent="0.25">
      <c r="A15" t="s">
        <v>123</v>
      </c>
      <c r="B15" t="s">
        <v>49</v>
      </c>
      <c r="C15" s="18" t="s">
        <v>124</v>
      </c>
      <c r="D15" s="1"/>
      <c r="E15" s="1"/>
      <c r="F15" s="1"/>
      <c r="G15" s="1" t="s">
        <v>100</v>
      </c>
      <c r="H15" s="1"/>
      <c r="I15" s="1" t="s">
        <v>66</v>
      </c>
      <c r="J15" s="14"/>
      <c r="K15" s="14"/>
      <c r="L15" s="14"/>
    </row>
    <row r="16" spans="1:12" x14ac:dyDescent="0.25">
      <c r="A16" t="s">
        <v>86</v>
      </c>
      <c r="B16" t="s">
        <v>49</v>
      </c>
      <c r="C16" s="18" t="s">
        <v>125</v>
      </c>
      <c r="D16" s="1"/>
      <c r="E16" s="1"/>
      <c r="F16" s="1"/>
      <c r="G16" s="1" t="s">
        <v>100</v>
      </c>
      <c r="H16" s="1"/>
      <c r="I16" s="1" t="s">
        <v>66</v>
      </c>
      <c r="J16" s="14"/>
      <c r="K16" s="14"/>
      <c r="L16" s="14"/>
    </row>
    <row r="17" spans="1:12" x14ac:dyDescent="0.25">
      <c r="A17" s="150" t="s">
        <v>115</v>
      </c>
      <c r="B17" s="150" t="s">
        <v>49</v>
      </c>
      <c r="C17" s="151" t="s">
        <v>116</v>
      </c>
      <c r="D17" s="152"/>
      <c r="E17" s="152"/>
      <c r="F17" s="152"/>
      <c r="G17" s="152" t="s">
        <v>96</v>
      </c>
      <c r="H17" s="152" t="s">
        <v>109</v>
      </c>
      <c r="I17" s="150"/>
      <c r="J17" s="150"/>
      <c r="K17" s="150"/>
      <c r="L17" s="150"/>
    </row>
    <row r="18" spans="1:12" x14ac:dyDescent="0.25">
      <c r="A18" t="s">
        <v>95</v>
      </c>
      <c r="B18" t="s">
        <v>49</v>
      </c>
      <c r="C18" s="18" t="s">
        <v>128</v>
      </c>
      <c r="D18" s="1"/>
      <c r="E18" s="1"/>
      <c r="F18" s="1"/>
      <c r="G18" s="1" t="s">
        <v>82</v>
      </c>
      <c r="H18" s="1"/>
      <c r="I18" s="1" t="s">
        <v>66</v>
      </c>
      <c r="J18" s="14"/>
      <c r="K18" s="14"/>
      <c r="L18" s="14"/>
    </row>
    <row r="19" spans="1:12" x14ac:dyDescent="0.25">
      <c r="A19" t="s">
        <v>129</v>
      </c>
      <c r="B19" t="s">
        <v>49</v>
      </c>
      <c r="C19" s="18" t="s">
        <v>130</v>
      </c>
      <c r="D19" s="1"/>
      <c r="E19" s="1"/>
      <c r="F19" s="1"/>
      <c r="G19" s="1" t="s">
        <v>100</v>
      </c>
      <c r="H19" s="1"/>
      <c r="I19" s="1" t="s">
        <v>66</v>
      </c>
      <c r="J19" s="14"/>
      <c r="K19" s="14"/>
      <c r="L19" s="14"/>
    </row>
    <row r="20" spans="1:12" x14ac:dyDescent="0.25">
      <c r="A20" s="150" t="s">
        <v>91</v>
      </c>
      <c r="B20" s="150" t="s">
        <v>49</v>
      </c>
      <c r="C20" s="151" t="s">
        <v>131</v>
      </c>
      <c r="D20" s="152"/>
      <c r="E20" s="152"/>
      <c r="F20" s="152"/>
      <c r="G20" s="152" t="s">
        <v>102</v>
      </c>
      <c r="H20" s="152"/>
      <c r="I20" s="152"/>
      <c r="J20" s="150"/>
      <c r="K20" s="150"/>
      <c r="L20" s="150"/>
    </row>
    <row r="21" spans="1:12" x14ac:dyDescent="0.25">
      <c r="A21" s="150" t="s">
        <v>94</v>
      </c>
      <c r="B21" s="150" t="s">
        <v>49</v>
      </c>
      <c r="C21" s="151" t="s">
        <v>132</v>
      </c>
      <c r="D21" s="152"/>
      <c r="E21" s="152"/>
      <c r="F21" s="152"/>
      <c r="G21" s="152" t="s">
        <v>102</v>
      </c>
      <c r="H21" s="152"/>
      <c r="I21" s="152"/>
      <c r="J21" s="150"/>
      <c r="K21" s="150"/>
      <c r="L21" s="150"/>
    </row>
    <row r="22" spans="1:12" x14ac:dyDescent="0.25">
      <c r="A22" t="s">
        <v>145</v>
      </c>
      <c r="B22" t="s">
        <v>49</v>
      </c>
      <c r="C22" s="18" t="s">
        <v>325</v>
      </c>
      <c r="D22" s="1"/>
      <c r="E22" s="1"/>
      <c r="F22" s="1"/>
      <c r="G22" s="1" t="s">
        <v>323</v>
      </c>
      <c r="H22" s="1"/>
      <c r="I22" s="1"/>
      <c r="J22" s="14"/>
      <c r="K22" s="14"/>
      <c r="L22" s="14"/>
    </row>
    <row r="23" spans="1:12" x14ac:dyDescent="0.25">
      <c r="A23" t="s">
        <v>155</v>
      </c>
      <c r="B23" t="s">
        <v>154</v>
      </c>
      <c r="C23" s="18" t="s">
        <v>324</v>
      </c>
      <c r="D23" s="1"/>
      <c r="E23" s="1"/>
      <c r="F23" s="1"/>
      <c r="G23" s="1" t="s">
        <v>156</v>
      </c>
      <c r="H23" s="1"/>
      <c r="I23" s="1"/>
      <c r="J23" s="14"/>
      <c r="K23" s="14"/>
      <c r="L23" s="14"/>
    </row>
    <row r="24" spans="1:12" x14ac:dyDescent="0.25">
      <c r="A24" s="150" t="s">
        <v>87</v>
      </c>
      <c r="B24" s="150" t="s">
        <v>49</v>
      </c>
      <c r="C24" s="151" t="s">
        <v>133</v>
      </c>
      <c r="D24" s="152" t="s">
        <v>107</v>
      </c>
      <c r="E24" s="152" t="s">
        <v>77</v>
      </c>
      <c r="F24" s="152"/>
      <c r="G24" s="152"/>
      <c r="H24" s="152" t="s">
        <v>107</v>
      </c>
      <c r="I24" s="152"/>
      <c r="J24" s="150"/>
      <c r="K24" s="150"/>
      <c r="L24" s="150"/>
    </row>
    <row r="25" spans="1:12" x14ac:dyDescent="0.25">
      <c r="A25" t="s">
        <v>78</v>
      </c>
      <c r="B25" t="s">
        <v>49</v>
      </c>
      <c r="C25" s="18" t="s">
        <v>134</v>
      </c>
      <c r="D25" s="1" t="s">
        <v>83</v>
      </c>
      <c r="E25" s="1" t="s">
        <v>77</v>
      </c>
      <c r="F25" s="1"/>
      <c r="G25" s="1"/>
      <c r="H25" s="1" t="s">
        <v>83</v>
      </c>
      <c r="I25" s="1"/>
      <c r="J25" s="14"/>
      <c r="K25" s="14"/>
      <c r="L25" s="14"/>
    </row>
    <row r="26" spans="1:12" x14ac:dyDescent="0.25">
      <c r="A26" t="s">
        <v>76</v>
      </c>
      <c r="B26" t="s">
        <v>49</v>
      </c>
      <c r="C26" s="18" t="s">
        <v>135</v>
      </c>
      <c r="D26" s="1" t="s">
        <v>83</v>
      </c>
      <c r="E26" s="1" t="s">
        <v>77</v>
      </c>
      <c r="F26" s="1" t="s">
        <v>92</v>
      </c>
      <c r="G26" s="1" t="s">
        <v>136</v>
      </c>
      <c r="H26" s="1" t="s">
        <v>83</v>
      </c>
      <c r="I26" s="1"/>
      <c r="J26" s="14"/>
      <c r="K26" s="14"/>
      <c r="L26" s="14"/>
    </row>
    <row r="27" spans="1:12" x14ac:dyDescent="0.25">
      <c r="A27" t="s">
        <v>53</v>
      </c>
      <c r="B27" t="s">
        <v>112</v>
      </c>
      <c r="C27" s="18" t="s">
        <v>137</v>
      </c>
      <c r="D27" s="1" t="s">
        <v>83</v>
      </c>
      <c r="E27" s="1"/>
      <c r="F27" s="1" t="s">
        <v>92</v>
      </c>
      <c r="G27" s="1"/>
      <c r="H27" s="1" t="s">
        <v>83</v>
      </c>
      <c r="I27" s="1"/>
      <c r="J27" s="14"/>
      <c r="K27" s="14"/>
      <c r="L27" s="14"/>
    </row>
    <row r="28" spans="1:12" x14ac:dyDescent="0.25">
      <c r="A28" t="s">
        <v>52</v>
      </c>
      <c r="B28" t="s">
        <v>49</v>
      </c>
      <c r="C28" s="18" t="s">
        <v>138</v>
      </c>
      <c r="D28" s="1" t="s">
        <v>83</v>
      </c>
      <c r="E28" s="1" t="s">
        <v>77</v>
      </c>
      <c r="F28" s="1"/>
      <c r="G28" s="1" t="s">
        <v>69</v>
      </c>
      <c r="H28" s="1" t="s">
        <v>83</v>
      </c>
      <c r="I28" s="1"/>
      <c r="J28" s="14"/>
      <c r="K28" s="14"/>
      <c r="L28" s="14"/>
    </row>
    <row r="29" spans="1:12" x14ac:dyDescent="0.25">
      <c r="A29" t="s">
        <v>51</v>
      </c>
      <c r="B29" t="s">
        <v>139</v>
      </c>
      <c r="C29" s="18" t="s">
        <v>140</v>
      </c>
      <c r="D29" s="1" t="s">
        <v>84</v>
      </c>
      <c r="E29" s="1" t="s">
        <v>88</v>
      </c>
      <c r="F29" s="1"/>
      <c r="G29" s="1" t="s">
        <v>105</v>
      </c>
      <c r="H29" s="1" t="s">
        <v>84</v>
      </c>
      <c r="I29" s="1"/>
      <c r="J29" s="14"/>
      <c r="K29" s="14"/>
      <c r="L29" s="14"/>
    </row>
    <row r="30" spans="1:12" x14ac:dyDescent="0.25">
      <c r="A30" t="s">
        <v>50</v>
      </c>
      <c r="B30" t="s">
        <v>49</v>
      </c>
      <c r="C30" s="18" t="s">
        <v>141</v>
      </c>
      <c r="D30" s="1" t="s">
        <v>84</v>
      </c>
      <c r="E30" s="1" t="s">
        <v>90</v>
      </c>
      <c r="F30" s="1" t="s">
        <v>92</v>
      </c>
      <c r="G30" s="1" t="s">
        <v>104</v>
      </c>
      <c r="H30" s="1" t="s">
        <v>84</v>
      </c>
      <c r="I30" s="1"/>
      <c r="J30" s="14"/>
      <c r="K30" s="14"/>
      <c r="L30" s="14"/>
    </row>
    <row r="31" spans="1:12" x14ac:dyDescent="0.25">
      <c r="A31" t="s">
        <v>142</v>
      </c>
      <c r="D31" s="1"/>
    </row>
    <row r="32" spans="1:12" x14ac:dyDescent="0.25">
      <c r="D32" s="1"/>
    </row>
    <row r="33" spans="1:3" x14ac:dyDescent="0.25">
      <c r="A33" s="19" t="s">
        <v>143</v>
      </c>
      <c r="B33" s="16" t="s">
        <v>47</v>
      </c>
      <c r="C33" s="19" t="s">
        <v>144</v>
      </c>
    </row>
    <row r="34" spans="1:3" x14ac:dyDescent="0.25">
      <c r="A34" t="s">
        <v>146</v>
      </c>
      <c r="B34" t="s">
        <v>147</v>
      </c>
      <c r="C34" s="1" t="s">
        <v>148</v>
      </c>
    </row>
  </sheetData>
  <mergeCells count="3">
    <mergeCell ref="A6:A7"/>
    <mergeCell ref="B6:B7"/>
    <mergeCell ref="C6:C7"/>
  </mergeCells>
  <phoneticPr fontId="4" type="noConversion"/>
  <hyperlinks>
    <hyperlink ref="C8" r:id="rId1" xr:uid="{90246F51-12F3-48B3-89D4-F7AF718C64A3}"/>
    <hyperlink ref="C9" r:id="rId2" xr:uid="{88CE4FBA-265B-4C1E-B192-AA32711B4E61}"/>
    <hyperlink ref="C17" r:id="rId3" xr:uid="{8CFEC683-4E4B-4C64-8A3B-EC7C5DA96393}"/>
    <hyperlink ref="C10" r:id="rId4" xr:uid="{7826F893-A295-4711-8167-80950793E668}"/>
    <hyperlink ref="C13" r:id="rId5" xr:uid="{13A68BCF-9748-4A83-8B09-BF83C731B1E2}"/>
    <hyperlink ref="C14" r:id="rId6" xr:uid="{4829AB0F-3708-4E71-B8DF-461EE63A6A4E}"/>
    <hyperlink ref="C15" r:id="rId7" xr:uid="{38AAC741-2AB1-43F6-BB1E-DCA948D198E5}"/>
    <hyperlink ref="C16" r:id="rId8" xr:uid="{09DE89C8-4D79-444E-A820-BBF8DEEA806A}"/>
    <hyperlink ref="C11" r:id="rId9" xr:uid="{B1A23EAD-9AC1-4AFB-A889-D587B9353098}"/>
    <hyperlink ref="C18" r:id="rId10" xr:uid="{A83A5FA0-2A8C-4313-9712-5BFCDCFB6949}"/>
    <hyperlink ref="C19" r:id="rId11" xr:uid="{159344AF-6B07-4F1A-8B39-EE07DAC770A2}"/>
    <hyperlink ref="C20" r:id="rId12" xr:uid="{7E35B57C-0BE2-4C62-A45C-E3DAABBB6904}"/>
    <hyperlink ref="C21" r:id="rId13" xr:uid="{8BC76BF8-8075-4992-8DE3-FD0A6514CF44}"/>
    <hyperlink ref="C24" r:id="rId14" xr:uid="{3DEF257D-1A31-46A3-A1D5-D75B787901AC}"/>
    <hyperlink ref="C25" r:id="rId15" xr:uid="{23E58665-805F-46CA-801C-DC4B9772F0F0}"/>
    <hyperlink ref="C26" r:id="rId16" xr:uid="{3C7F1FEA-758B-4DF1-8C7D-A3738997A85C}"/>
    <hyperlink ref="C27" r:id="rId17" xr:uid="{6EBFFCD1-C81A-4B78-B733-EB2BB5470068}"/>
    <hyperlink ref="C28" r:id="rId18" xr:uid="{98541BA5-3BF1-424B-A39B-B76EA7E9B3B6}"/>
    <hyperlink ref="C30" r:id="rId19" xr:uid="{307C7729-344E-469E-BBA9-136EB3979719}"/>
    <hyperlink ref="C29" r:id="rId20" xr:uid="{F2E72E5C-27C5-44D8-9431-20CB4CB238C5}"/>
    <hyperlink ref="C12" r:id="rId21" xr:uid="{A679D93A-60EF-4EE8-A7A3-F57702182560}"/>
    <hyperlink ref="C23" r:id="rId22" xr:uid="{E11C198F-CF26-4D87-ABB1-8A4F1EF0ED53}"/>
    <hyperlink ref="C22" r:id="rId23" xr:uid="{EC4778F7-3849-4952-86C6-CB9A060DFD7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D7D3-0654-4293-BF66-26E22BD49C29}">
  <dimension ref="A1:Z46"/>
  <sheetViews>
    <sheetView zoomScale="70" zoomScaleNormal="70" workbookViewId="0">
      <selection activeCell="A39" sqref="A39:I39"/>
    </sheetView>
  </sheetViews>
  <sheetFormatPr defaultColWidth="16.85546875" defaultRowHeight="15" x14ac:dyDescent="0.25"/>
  <cols>
    <col min="1" max="2" width="16.85546875" style="4"/>
    <col min="3" max="3" width="25.42578125" style="4" customWidth="1"/>
    <col min="4" max="4" width="21.28515625" style="4" customWidth="1"/>
    <col min="5" max="5" width="33.5703125" style="4" customWidth="1"/>
    <col min="6" max="6" width="24.42578125" style="4" customWidth="1"/>
    <col min="7" max="7" width="18.7109375" style="4" customWidth="1"/>
    <col min="8" max="8" width="25.28515625" style="4" customWidth="1"/>
    <col min="9" max="9" width="16.85546875" style="4"/>
    <col min="10" max="10" width="5.7109375" customWidth="1"/>
    <col min="11" max="12" width="16.85546875" style="4"/>
    <col min="13" max="13" width="19" style="4" bestFit="1" customWidth="1"/>
    <col min="14" max="14" width="16.85546875" style="4"/>
    <col min="15" max="15" width="33" style="4" bestFit="1" customWidth="1"/>
    <col min="16" max="22" width="16.85546875" style="4"/>
    <col min="23" max="23" width="25.5703125" style="4" bestFit="1" customWidth="1"/>
    <col min="24" max="16384" width="16.85546875" style="4"/>
  </cols>
  <sheetData>
    <row r="1" spans="1:26" x14ac:dyDescent="0.25">
      <c r="A1" s="3" t="s">
        <v>0</v>
      </c>
      <c r="B1" s="3" t="s">
        <v>1</v>
      </c>
      <c r="C1" s="3" t="s">
        <v>151</v>
      </c>
      <c r="D1" s="3" t="s">
        <v>15</v>
      </c>
      <c r="E1" s="3" t="s">
        <v>37</v>
      </c>
      <c r="F1" s="3" t="s">
        <v>35</v>
      </c>
      <c r="G1" s="3" t="s">
        <v>36</v>
      </c>
      <c r="H1" s="9" t="s">
        <v>38</v>
      </c>
      <c r="I1" s="9" t="s">
        <v>0</v>
      </c>
      <c r="K1" s="4" t="s">
        <v>43</v>
      </c>
      <c r="S1" s="3"/>
      <c r="T1" s="3"/>
      <c r="U1" s="3"/>
      <c r="V1" s="3"/>
    </row>
    <row r="2" spans="1:26" x14ac:dyDescent="0.25">
      <c r="A2" s="4" t="s">
        <v>5</v>
      </c>
      <c r="B2" s="4">
        <v>51</v>
      </c>
      <c r="C2" s="4" t="s">
        <v>6</v>
      </c>
      <c r="D2" s="5">
        <v>61.9</v>
      </c>
      <c r="E2" s="5">
        <v>34</v>
      </c>
      <c r="F2" s="5">
        <v>25.4</v>
      </c>
      <c r="G2" s="5">
        <f t="shared" ref="G2:G11" si="0">(F2*100/D2)</f>
        <v>41.033925686591274</v>
      </c>
      <c r="H2" s="10" t="s">
        <v>40</v>
      </c>
      <c r="I2" s="11" t="s">
        <v>5</v>
      </c>
      <c r="K2" s="3" t="s">
        <v>0</v>
      </c>
      <c r="L2" s="3" t="s">
        <v>1</v>
      </c>
      <c r="M2" s="3" t="s">
        <v>2</v>
      </c>
      <c r="N2" s="3" t="s">
        <v>15</v>
      </c>
      <c r="O2" s="3" t="s">
        <v>37</v>
      </c>
      <c r="P2" s="3" t="s">
        <v>35</v>
      </c>
      <c r="Q2" s="3" t="s">
        <v>36</v>
      </c>
      <c r="S2" s="3"/>
      <c r="T2" s="3"/>
      <c r="U2" s="3"/>
      <c r="V2" s="3"/>
      <c r="W2" s="3"/>
      <c r="X2" s="3"/>
      <c r="Y2" s="3"/>
      <c r="Z2" s="3"/>
    </row>
    <row r="3" spans="1:26" x14ac:dyDescent="0.25">
      <c r="A3" s="4" t="s">
        <v>10</v>
      </c>
      <c r="B3" s="4">
        <v>59</v>
      </c>
      <c r="C3" s="4" t="s">
        <v>6</v>
      </c>
      <c r="D3" s="5">
        <v>68.099999999999994</v>
      </c>
      <c r="E3" s="5">
        <v>40.700000000000003</v>
      </c>
      <c r="F3" s="5">
        <v>25.1</v>
      </c>
      <c r="G3" s="5">
        <f t="shared" si="0"/>
        <v>36.857562408223203</v>
      </c>
      <c r="H3" s="10" t="s">
        <v>41</v>
      </c>
      <c r="I3" s="11" t="s">
        <v>10</v>
      </c>
      <c r="K3" s="4" t="s">
        <v>10</v>
      </c>
      <c r="L3" s="4">
        <v>59</v>
      </c>
      <c r="M3" s="4" t="s">
        <v>6</v>
      </c>
      <c r="N3" s="5">
        <v>68.099999999999994</v>
      </c>
      <c r="O3" s="5">
        <v>40.700000000000003</v>
      </c>
      <c r="P3" s="5">
        <v>25.1</v>
      </c>
      <c r="Q3" s="5">
        <f t="shared" ref="Q3:Q8" si="1">(P3*100/N3)</f>
        <v>36.857562408223203</v>
      </c>
      <c r="V3" s="5"/>
      <c r="W3" s="5"/>
      <c r="X3" s="5"/>
      <c r="Y3" s="5"/>
      <c r="Z3" s="20"/>
    </row>
    <row r="4" spans="1:26" x14ac:dyDescent="0.25">
      <c r="A4" s="4" t="s">
        <v>14</v>
      </c>
      <c r="B4" s="4">
        <v>55</v>
      </c>
      <c r="C4" s="4" t="s">
        <v>6</v>
      </c>
      <c r="D4" s="5">
        <v>57.8</v>
      </c>
      <c r="E4" s="5">
        <v>38.700000000000003</v>
      </c>
      <c r="F4" s="5">
        <v>7.2</v>
      </c>
      <c r="G4" s="5">
        <f t="shared" si="0"/>
        <v>12.456747404844291</v>
      </c>
      <c r="H4" s="10" t="s">
        <v>40</v>
      </c>
      <c r="I4" s="11" t="s">
        <v>14</v>
      </c>
      <c r="K4" s="4" t="s">
        <v>18</v>
      </c>
      <c r="L4" s="4">
        <v>48</v>
      </c>
      <c r="M4" s="4" t="s">
        <v>6</v>
      </c>
      <c r="N4" s="5">
        <v>92.3</v>
      </c>
      <c r="O4" s="5">
        <v>50.9</v>
      </c>
      <c r="P4" s="5">
        <v>37.700000000000003</v>
      </c>
      <c r="Q4" s="5">
        <f t="shared" si="1"/>
        <v>40.845070422535215</v>
      </c>
      <c r="V4" s="5"/>
      <c r="W4" s="5"/>
      <c r="X4" s="5"/>
      <c r="Y4" s="5"/>
      <c r="Z4" s="20"/>
    </row>
    <row r="5" spans="1:26" x14ac:dyDescent="0.25">
      <c r="A5" s="4" t="s">
        <v>18</v>
      </c>
      <c r="B5" s="4">
        <v>48</v>
      </c>
      <c r="C5" s="4" t="s">
        <v>6</v>
      </c>
      <c r="D5" s="5">
        <v>92.3</v>
      </c>
      <c r="E5" s="5">
        <v>50.9</v>
      </c>
      <c r="F5" s="5">
        <v>37.700000000000003</v>
      </c>
      <c r="G5" s="5">
        <f t="shared" si="0"/>
        <v>40.845070422535215</v>
      </c>
      <c r="H5" s="10" t="s">
        <v>41</v>
      </c>
      <c r="I5" s="11" t="s">
        <v>18</v>
      </c>
      <c r="K5" s="21" t="s">
        <v>20</v>
      </c>
      <c r="L5" s="21">
        <v>44</v>
      </c>
      <c r="M5" s="21" t="s">
        <v>6</v>
      </c>
      <c r="N5" s="22">
        <v>74.3</v>
      </c>
      <c r="O5" s="22">
        <v>36.1</v>
      </c>
      <c r="P5" s="22">
        <v>35.700000000000003</v>
      </c>
      <c r="Q5" s="22">
        <f t="shared" si="1"/>
        <v>48.048452220726794</v>
      </c>
      <c r="R5" s="21" t="s">
        <v>152</v>
      </c>
      <c r="V5" s="5"/>
      <c r="W5" s="5"/>
      <c r="X5" s="5"/>
      <c r="Y5" s="5"/>
      <c r="Z5" s="20"/>
    </row>
    <row r="6" spans="1:26" x14ac:dyDescent="0.25">
      <c r="A6" s="4" t="s">
        <v>19</v>
      </c>
      <c r="B6" s="4">
        <v>53</v>
      </c>
      <c r="C6" s="4" t="s">
        <v>6</v>
      </c>
      <c r="D6" s="5">
        <v>96.4</v>
      </c>
      <c r="E6" s="5">
        <v>50.4</v>
      </c>
      <c r="F6" s="5">
        <v>43.1</v>
      </c>
      <c r="G6" s="5">
        <f t="shared" si="0"/>
        <v>44.709543568464724</v>
      </c>
      <c r="H6" s="10" t="s">
        <v>40</v>
      </c>
      <c r="I6" s="11" t="s">
        <v>19</v>
      </c>
      <c r="K6" s="4" t="s">
        <v>21</v>
      </c>
      <c r="L6" s="4">
        <v>63</v>
      </c>
      <c r="M6" s="4" t="s">
        <v>6</v>
      </c>
      <c r="N6" s="5">
        <v>84.2</v>
      </c>
      <c r="O6" s="5">
        <v>43.2</v>
      </c>
      <c r="P6" s="5">
        <v>39</v>
      </c>
      <c r="Q6" s="5">
        <f t="shared" si="1"/>
        <v>46.318289786223275</v>
      </c>
      <c r="V6" s="5"/>
      <c r="W6" s="5"/>
      <c r="X6" s="5"/>
      <c r="Y6" s="5"/>
      <c r="Z6" s="20"/>
    </row>
    <row r="7" spans="1:26" x14ac:dyDescent="0.25">
      <c r="K7" s="4" t="s">
        <v>24</v>
      </c>
      <c r="L7" s="4">
        <v>54</v>
      </c>
      <c r="M7" s="4" t="s">
        <v>6</v>
      </c>
      <c r="N7" s="4">
        <v>79.3</v>
      </c>
      <c r="O7" s="4">
        <v>43.9</v>
      </c>
      <c r="P7" s="4">
        <v>33.1</v>
      </c>
      <c r="Q7" s="5">
        <f t="shared" si="1"/>
        <v>41.740226986128626</v>
      </c>
      <c r="V7" s="5"/>
      <c r="W7" s="5"/>
      <c r="X7" s="5"/>
      <c r="Y7" s="5"/>
      <c r="Z7" s="20"/>
    </row>
    <row r="8" spans="1:26" x14ac:dyDescent="0.25">
      <c r="A8" s="4" t="s">
        <v>21</v>
      </c>
      <c r="B8" s="4">
        <v>63</v>
      </c>
      <c r="C8" s="4" t="s">
        <v>6</v>
      </c>
      <c r="D8" s="5">
        <v>84.2</v>
      </c>
      <c r="E8" s="5">
        <v>43.2</v>
      </c>
      <c r="F8" s="5">
        <v>39</v>
      </c>
      <c r="G8" s="5">
        <f t="shared" si="0"/>
        <v>46.318289786223275</v>
      </c>
      <c r="H8" s="10" t="s">
        <v>41</v>
      </c>
      <c r="I8" s="11" t="s">
        <v>21</v>
      </c>
      <c r="K8" s="4" t="s">
        <v>25</v>
      </c>
      <c r="L8" s="4">
        <v>52</v>
      </c>
      <c r="M8" s="4" t="s">
        <v>6</v>
      </c>
      <c r="N8" s="5">
        <v>76.599999999999994</v>
      </c>
      <c r="O8" s="5">
        <v>42</v>
      </c>
      <c r="P8" s="5">
        <v>32</v>
      </c>
      <c r="Q8" s="5">
        <f t="shared" si="1"/>
        <v>41.775456919060055</v>
      </c>
      <c r="V8" s="5"/>
      <c r="Y8" s="5"/>
      <c r="Z8" s="20"/>
    </row>
    <row r="9" spans="1:26" x14ac:dyDescent="0.25">
      <c r="A9" s="4" t="s">
        <v>22</v>
      </c>
      <c r="B9" s="4">
        <v>55</v>
      </c>
      <c r="C9" s="4" t="s">
        <v>6</v>
      </c>
      <c r="D9" s="5">
        <v>96.8</v>
      </c>
      <c r="E9" s="5">
        <v>49.1</v>
      </c>
      <c r="F9" s="5">
        <v>44.5</v>
      </c>
      <c r="G9" s="5">
        <f t="shared" si="0"/>
        <v>45.971074380165291</v>
      </c>
      <c r="H9" s="10" t="s">
        <v>40</v>
      </c>
      <c r="I9" s="11" t="s">
        <v>22</v>
      </c>
      <c r="K9" s="4" t="s">
        <v>31</v>
      </c>
      <c r="L9" s="4">
        <v>57</v>
      </c>
      <c r="M9" s="4" t="s">
        <v>6</v>
      </c>
      <c r="N9" s="5">
        <v>72</v>
      </c>
      <c r="O9" s="5">
        <v>39.799999999999997</v>
      </c>
      <c r="P9" s="5">
        <v>29.4</v>
      </c>
      <c r="Q9" s="5">
        <f>(P9*100/N9)</f>
        <v>40.833333333333336</v>
      </c>
      <c r="V9" s="5"/>
      <c r="W9" s="5"/>
      <c r="X9" s="5"/>
      <c r="Y9" s="5"/>
      <c r="Z9" s="20"/>
    </row>
    <row r="10" spans="1:26" x14ac:dyDescent="0.25">
      <c r="A10" s="4" t="s">
        <v>24</v>
      </c>
      <c r="B10" s="4">
        <v>54</v>
      </c>
      <c r="C10" s="4" t="s">
        <v>6</v>
      </c>
      <c r="D10" s="4">
        <v>79.3</v>
      </c>
      <c r="E10" s="4">
        <v>43.9</v>
      </c>
      <c r="F10" s="4">
        <v>33.1</v>
      </c>
      <c r="G10" s="5">
        <f t="shared" si="0"/>
        <v>41.740226986128626</v>
      </c>
      <c r="H10" s="10" t="s">
        <v>41</v>
      </c>
      <c r="I10" s="11" t="s">
        <v>24</v>
      </c>
      <c r="K10" s="4" t="s">
        <v>32</v>
      </c>
      <c r="L10" s="4">
        <v>61</v>
      </c>
      <c r="M10" s="4" t="s">
        <v>6</v>
      </c>
      <c r="N10" s="5">
        <v>63.5</v>
      </c>
      <c r="O10" s="5">
        <v>45.4</v>
      </c>
      <c r="P10" s="5">
        <v>16.600000000000001</v>
      </c>
      <c r="Q10" s="5">
        <f>(P10*100/N10)</f>
        <v>26.14173228346457</v>
      </c>
      <c r="S10" s="3"/>
      <c r="T10" s="8"/>
      <c r="U10" s="8"/>
      <c r="V10" s="8"/>
      <c r="W10" s="8"/>
      <c r="X10" s="8"/>
      <c r="Y10" s="8"/>
      <c r="Z10" s="8"/>
    </row>
    <row r="11" spans="1:26" x14ac:dyDescent="0.25">
      <c r="A11" s="4" t="s">
        <v>25</v>
      </c>
      <c r="B11" s="4">
        <v>52</v>
      </c>
      <c r="C11" s="4" t="s">
        <v>6</v>
      </c>
      <c r="D11" s="5">
        <v>76.599999999999994</v>
      </c>
      <c r="E11" s="5">
        <v>42</v>
      </c>
      <c r="F11" s="5">
        <v>32</v>
      </c>
      <c r="G11" s="5">
        <f t="shared" si="0"/>
        <v>41.775456919060055</v>
      </c>
      <c r="H11" s="10" t="s">
        <v>41</v>
      </c>
      <c r="I11" s="11" t="s">
        <v>25</v>
      </c>
      <c r="K11" s="4" t="s">
        <v>7</v>
      </c>
      <c r="L11" s="4">
        <v>42</v>
      </c>
      <c r="M11" s="4" t="s">
        <v>4</v>
      </c>
      <c r="N11" s="4">
        <v>80.900000000000006</v>
      </c>
      <c r="O11" s="4">
        <v>56.5</v>
      </c>
      <c r="P11" s="4">
        <v>21.4</v>
      </c>
      <c r="Q11" s="5">
        <v>26.452410383189122</v>
      </c>
      <c r="S11" s="3"/>
      <c r="T11" s="8"/>
      <c r="U11" s="8"/>
      <c r="V11" s="8"/>
      <c r="W11" s="8"/>
      <c r="X11" s="8"/>
      <c r="Y11" s="8"/>
      <c r="Z11" s="8"/>
    </row>
    <row r="12" spans="1:26" x14ac:dyDescent="0.25">
      <c r="A12" s="4" t="s">
        <v>26</v>
      </c>
      <c r="B12" s="4">
        <v>54</v>
      </c>
      <c r="C12" s="4" t="s">
        <v>6</v>
      </c>
      <c r="D12" s="5">
        <v>71.900000000000006</v>
      </c>
      <c r="E12" s="5">
        <v>39.4</v>
      </c>
      <c r="F12" s="5">
        <v>29.8</v>
      </c>
      <c r="G12" s="5">
        <f t="shared" ref="G12:G17" si="2">(F12*100/D12)</f>
        <v>41.446453407510425</v>
      </c>
      <c r="H12" s="10" t="s">
        <v>40</v>
      </c>
      <c r="I12" s="11" t="s">
        <v>26</v>
      </c>
      <c r="K12" s="4" t="s">
        <v>8</v>
      </c>
      <c r="L12" s="4">
        <v>55</v>
      </c>
      <c r="M12" s="4" t="s">
        <v>4</v>
      </c>
      <c r="N12" s="5">
        <v>103</v>
      </c>
      <c r="O12" s="5">
        <v>60.7</v>
      </c>
      <c r="P12" s="5">
        <v>40</v>
      </c>
      <c r="Q12" s="5">
        <f t="shared" ref="Q12:Q17" si="3">(P12*100/N12)</f>
        <v>38.834951456310677</v>
      </c>
      <c r="S12" s="3"/>
      <c r="T12" s="3"/>
      <c r="U12" s="3"/>
      <c r="V12" s="3"/>
      <c r="W12" s="3"/>
      <c r="X12" s="3"/>
      <c r="Y12" s="3"/>
      <c r="Z12" s="3"/>
    </row>
    <row r="13" spans="1:26" x14ac:dyDescent="0.25">
      <c r="K13" s="4" t="s">
        <v>13</v>
      </c>
      <c r="L13" s="4">
        <v>44</v>
      </c>
      <c r="M13" s="4" t="s">
        <v>4</v>
      </c>
      <c r="N13" s="5">
        <v>130.19999999999999</v>
      </c>
      <c r="O13" s="5">
        <v>66.2</v>
      </c>
      <c r="P13" s="5">
        <v>61.4</v>
      </c>
      <c r="Q13" s="5">
        <f t="shared" si="3"/>
        <v>47.158218125960069</v>
      </c>
    </row>
    <row r="14" spans="1:26" x14ac:dyDescent="0.25">
      <c r="A14" s="4" t="s">
        <v>28</v>
      </c>
      <c r="B14" s="4">
        <v>70</v>
      </c>
      <c r="C14" s="4" t="s">
        <v>6</v>
      </c>
      <c r="D14" s="5">
        <v>56.3</v>
      </c>
      <c r="E14" s="5">
        <v>32.6</v>
      </c>
      <c r="F14" s="5">
        <v>21.9</v>
      </c>
      <c r="G14" s="5">
        <f t="shared" si="2"/>
        <v>38.898756660746002</v>
      </c>
      <c r="H14" s="10" t="s">
        <v>40</v>
      </c>
      <c r="I14" s="11" t="s">
        <v>28</v>
      </c>
      <c r="K14" s="4" t="s">
        <v>16</v>
      </c>
      <c r="L14" s="4">
        <v>64</v>
      </c>
      <c r="M14" s="4" t="s">
        <v>4</v>
      </c>
      <c r="N14" s="5">
        <v>83.5</v>
      </c>
      <c r="O14" s="5">
        <v>54.6</v>
      </c>
      <c r="P14" s="5">
        <v>25.2</v>
      </c>
      <c r="Q14" s="5">
        <f t="shared" si="3"/>
        <v>30.179640718562876</v>
      </c>
      <c r="V14" s="5"/>
      <c r="W14" s="5"/>
      <c r="X14" s="5"/>
      <c r="Y14" s="5"/>
      <c r="Z14" s="20"/>
    </row>
    <row r="15" spans="1:26" x14ac:dyDescent="0.25">
      <c r="A15" s="4" t="s">
        <v>31</v>
      </c>
      <c r="B15" s="4">
        <v>57</v>
      </c>
      <c r="C15" s="4" t="s">
        <v>6</v>
      </c>
      <c r="D15" s="5">
        <v>72</v>
      </c>
      <c r="E15" s="5">
        <v>39.799999999999997</v>
      </c>
      <c r="F15" s="5">
        <v>29.4</v>
      </c>
      <c r="G15" s="5">
        <f t="shared" si="2"/>
        <v>40.833333333333336</v>
      </c>
      <c r="H15" s="10" t="s">
        <v>41</v>
      </c>
      <c r="I15" s="11" t="s">
        <v>31</v>
      </c>
      <c r="K15" s="4" t="s">
        <v>17</v>
      </c>
      <c r="L15" s="4">
        <v>69</v>
      </c>
      <c r="M15" s="4" t="s">
        <v>4</v>
      </c>
      <c r="N15" s="5">
        <v>105.5</v>
      </c>
      <c r="O15" s="5">
        <v>61.5</v>
      </c>
      <c r="P15" s="5">
        <v>39.799999999999997</v>
      </c>
      <c r="Q15" s="5">
        <f t="shared" si="3"/>
        <v>37.725118483412317</v>
      </c>
      <c r="V15" s="5"/>
      <c r="W15" s="5"/>
      <c r="X15" s="5"/>
      <c r="Y15" s="5"/>
      <c r="Z15" s="20"/>
    </row>
    <row r="16" spans="1:26" x14ac:dyDescent="0.25">
      <c r="A16" s="4" t="s">
        <v>32</v>
      </c>
      <c r="B16" s="4">
        <v>61</v>
      </c>
      <c r="C16" s="4" t="s">
        <v>6</v>
      </c>
      <c r="D16" s="5">
        <v>63.5</v>
      </c>
      <c r="E16" s="5">
        <v>45.4</v>
      </c>
      <c r="F16" s="5">
        <v>16.600000000000001</v>
      </c>
      <c r="G16" s="5">
        <f t="shared" si="2"/>
        <v>26.14173228346457</v>
      </c>
      <c r="H16" s="10" t="s">
        <v>41</v>
      </c>
      <c r="I16" s="11" t="s">
        <v>32</v>
      </c>
      <c r="K16" s="4" t="s">
        <v>30</v>
      </c>
      <c r="L16" s="4">
        <v>50</v>
      </c>
      <c r="M16" s="4" t="s">
        <v>4</v>
      </c>
      <c r="N16" s="5">
        <v>89.1</v>
      </c>
      <c r="O16" s="5">
        <v>53.1</v>
      </c>
      <c r="P16" s="5">
        <v>33.200000000000003</v>
      </c>
      <c r="Q16" s="5">
        <f t="shared" si="3"/>
        <v>37.261503928170605</v>
      </c>
      <c r="V16" s="5"/>
      <c r="W16" s="5"/>
      <c r="X16" s="5"/>
      <c r="Y16" s="5"/>
      <c r="Z16" s="20"/>
    </row>
    <row r="17" spans="1:26" x14ac:dyDescent="0.25">
      <c r="A17" s="4" t="s">
        <v>150</v>
      </c>
      <c r="B17" s="4">
        <v>60</v>
      </c>
      <c r="C17" s="4" t="s">
        <v>6</v>
      </c>
      <c r="D17" s="4">
        <v>65</v>
      </c>
      <c r="E17" s="4">
        <v>36.5</v>
      </c>
      <c r="F17" s="4">
        <v>26</v>
      </c>
      <c r="G17" s="4">
        <f t="shared" si="2"/>
        <v>40</v>
      </c>
      <c r="H17" s="10" t="s">
        <v>40</v>
      </c>
      <c r="I17" s="11" t="s">
        <v>150</v>
      </c>
      <c r="K17" s="4" t="s">
        <v>149</v>
      </c>
      <c r="L17" s="4">
        <v>63</v>
      </c>
      <c r="M17" s="4" t="s">
        <v>4</v>
      </c>
      <c r="N17" s="4">
        <v>86.3</v>
      </c>
      <c r="O17" s="4">
        <v>62.7</v>
      </c>
      <c r="P17" s="4">
        <v>20.2</v>
      </c>
      <c r="Q17" s="5">
        <f t="shared" si="3"/>
        <v>23.406720741599074</v>
      </c>
      <c r="V17" s="5"/>
      <c r="W17" s="5"/>
      <c r="X17" s="5"/>
      <c r="Y17" s="5"/>
      <c r="Z17" s="20"/>
    </row>
    <row r="18" spans="1:26" x14ac:dyDescent="0.25">
      <c r="A18" s="4" t="s">
        <v>3</v>
      </c>
      <c r="B18" s="4">
        <v>45</v>
      </c>
      <c r="C18" s="4" t="s">
        <v>4</v>
      </c>
      <c r="D18" s="5">
        <v>145.69999999999999</v>
      </c>
      <c r="E18" s="5">
        <v>75.8</v>
      </c>
      <c r="F18" s="5">
        <v>63.9</v>
      </c>
      <c r="G18" s="5">
        <f>(F18*100/D18)</f>
        <v>43.857240905971175</v>
      </c>
      <c r="H18" s="10" t="s">
        <v>40</v>
      </c>
      <c r="I18" s="11" t="s">
        <v>3</v>
      </c>
      <c r="K18" s="3" t="s">
        <v>33</v>
      </c>
      <c r="L18" s="8">
        <f>AVERAGE(L3:L17)</f>
        <v>55</v>
      </c>
      <c r="M18" s="8"/>
      <c r="N18" s="8">
        <f>AVERAGE(N3:N17)</f>
        <v>85.919999999999987</v>
      </c>
      <c r="O18" s="8">
        <f>AVERAGE(O3:O17)</f>
        <v>50.486666666666672</v>
      </c>
      <c r="P18" s="8">
        <f>AVERAGE(P3:P17)</f>
        <v>32.653333333333329</v>
      </c>
      <c r="Q18" s="8">
        <f>AVERAGE(Q3:Q17)</f>
        <v>37.571912546459991</v>
      </c>
      <c r="Y18" s="5"/>
      <c r="Z18" s="20"/>
    </row>
    <row r="19" spans="1:26" x14ac:dyDescent="0.25">
      <c r="A19" s="4" t="s">
        <v>7</v>
      </c>
      <c r="B19" s="4">
        <v>42</v>
      </c>
      <c r="C19" s="4" t="s">
        <v>4</v>
      </c>
      <c r="D19" s="5">
        <v>80.900000000000006</v>
      </c>
      <c r="E19" s="5">
        <v>56.5</v>
      </c>
      <c r="F19" s="5">
        <v>21.4</v>
      </c>
      <c r="G19" s="5">
        <f>(F19*100/D19)</f>
        <v>26.452410383189122</v>
      </c>
      <c r="H19" s="10" t="s">
        <v>41</v>
      </c>
      <c r="I19" s="11" t="s">
        <v>7</v>
      </c>
      <c r="K19" s="3" t="s">
        <v>34</v>
      </c>
      <c r="L19" s="8">
        <f>STDEV(L3:L17)</f>
        <v>8.2635170651311842</v>
      </c>
      <c r="M19" s="8"/>
      <c r="N19" s="8">
        <f>STDEV(N3:N17)</f>
        <v>16.904107700285749</v>
      </c>
      <c r="O19" s="8">
        <f>STDEV(O3:O17)</f>
        <v>9.6106240816137731</v>
      </c>
      <c r="P19" s="8">
        <f>STDEV(P3:P17)</f>
        <v>10.921791236309371</v>
      </c>
      <c r="Q19" s="8">
        <f>STDEV(Q3:Q17)</f>
        <v>7.7752601768512859</v>
      </c>
      <c r="V19" s="5"/>
      <c r="W19" s="5"/>
      <c r="X19" s="5"/>
      <c r="Y19" s="5"/>
      <c r="Z19" s="20"/>
    </row>
    <row r="20" spans="1:26" x14ac:dyDescent="0.25">
      <c r="A20" s="4" t="s">
        <v>8</v>
      </c>
      <c r="B20" s="4">
        <v>55</v>
      </c>
      <c r="C20" s="4" t="s">
        <v>4</v>
      </c>
      <c r="D20" s="5">
        <v>103</v>
      </c>
      <c r="E20" s="5">
        <v>60.7</v>
      </c>
      <c r="F20" s="5">
        <v>40</v>
      </c>
      <c r="G20" s="5">
        <f>(F20*100/D20)</f>
        <v>38.834951456310677</v>
      </c>
      <c r="H20" s="10" t="s">
        <v>41</v>
      </c>
      <c r="I20" s="11" t="s">
        <v>8</v>
      </c>
      <c r="Q20" s="5"/>
      <c r="V20" s="5"/>
      <c r="W20" s="5"/>
      <c r="X20" s="5"/>
      <c r="Y20" s="5"/>
      <c r="Z20" s="20"/>
    </row>
    <row r="21" spans="1:26" x14ac:dyDescent="0.25">
      <c r="A21" s="4" t="s">
        <v>9</v>
      </c>
      <c r="B21" s="4">
        <v>56</v>
      </c>
      <c r="C21" s="4" t="s">
        <v>4</v>
      </c>
      <c r="D21" s="5">
        <v>102.5</v>
      </c>
      <c r="E21" s="5">
        <v>63.1</v>
      </c>
      <c r="F21" s="5">
        <v>36.5</v>
      </c>
      <c r="G21" s="5">
        <f>(F21*100/D21)</f>
        <v>35.609756097560975</v>
      </c>
      <c r="H21" s="10" t="s">
        <v>40</v>
      </c>
      <c r="I21" s="11" t="s">
        <v>9</v>
      </c>
      <c r="Q21" s="5"/>
      <c r="S21" s="3"/>
      <c r="T21" s="8"/>
      <c r="U21" s="8"/>
      <c r="V21" s="8"/>
      <c r="W21" s="8"/>
      <c r="X21" s="8"/>
      <c r="Y21" s="8"/>
      <c r="Z21" s="8"/>
    </row>
    <row r="22" spans="1:26" x14ac:dyDescent="0.25">
      <c r="A22" s="4" t="s">
        <v>11</v>
      </c>
      <c r="B22" s="4">
        <v>53</v>
      </c>
      <c r="C22" s="4" t="s">
        <v>4</v>
      </c>
      <c r="D22" s="5">
        <v>99.1</v>
      </c>
      <c r="E22" s="5">
        <v>70.099999999999994</v>
      </c>
      <c r="F22" s="5">
        <v>24.7</v>
      </c>
      <c r="G22" s="5">
        <f t="shared" ref="G22:G28" si="4">(F22*100/D22)</f>
        <v>24.924318869828458</v>
      </c>
      <c r="H22" s="12" t="s">
        <v>40</v>
      </c>
      <c r="I22" s="11" t="s">
        <v>11</v>
      </c>
      <c r="K22" s="4" t="s">
        <v>44</v>
      </c>
      <c r="Q22" s="5"/>
      <c r="S22" s="3"/>
      <c r="T22" s="8"/>
      <c r="U22" s="8"/>
      <c r="V22" s="8"/>
      <c r="W22" s="8"/>
      <c r="X22" s="8"/>
      <c r="Y22" s="8"/>
      <c r="Z22" s="8"/>
    </row>
    <row r="23" spans="1:26" x14ac:dyDescent="0.25">
      <c r="A23" s="4" t="s">
        <v>12</v>
      </c>
      <c r="B23" s="4">
        <v>46</v>
      </c>
      <c r="C23" s="4" t="s">
        <v>4</v>
      </c>
      <c r="D23" s="5">
        <v>95.5</v>
      </c>
      <c r="E23" s="5">
        <v>69.7</v>
      </c>
      <c r="F23" s="5">
        <v>25.9</v>
      </c>
      <c r="G23" s="5">
        <f t="shared" si="4"/>
        <v>27.120418848167539</v>
      </c>
      <c r="H23" s="10" t="s">
        <v>40</v>
      </c>
      <c r="I23" s="11" t="s">
        <v>12</v>
      </c>
      <c r="K23" s="3" t="s">
        <v>0</v>
      </c>
      <c r="L23" s="3" t="s">
        <v>1</v>
      </c>
      <c r="M23" s="3" t="s">
        <v>2</v>
      </c>
      <c r="N23" s="3" t="s">
        <v>15</v>
      </c>
      <c r="O23" s="3" t="s">
        <v>37</v>
      </c>
      <c r="P23" s="3" t="s">
        <v>35</v>
      </c>
      <c r="Q23" s="3" t="s">
        <v>36</v>
      </c>
      <c r="S23" s="3"/>
      <c r="T23" s="7"/>
      <c r="U23" s="7"/>
      <c r="V23" s="7"/>
      <c r="W23" s="7"/>
      <c r="X23" s="7"/>
      <c r="Y23" s="7"/>
      <c r="Z23" s="7"/>
    </row>
    <row r="24" spans="1:26" x14ac:dyDescent="0.25">
      <c r="A24" s="4" t="s">
        <v>13</v>
      </c>
      <c r="B24" s="4">
        <v>44</v>
      </c>
      <c r="C24" s="4" t="s">
        <v>4</v>
      </c>
      <c r="D24" s="5">
        <v>130.19999999999999</v>
      </c>
      <c r="E24" s="5">
        <v>66.2</v>
      </c>
      <c r="F24" s="5">
        <v>61.4</v>
      </c>
      <c r="G24" s="5">
        <f t="shared" si="4"/>
        <v>47.158218125960069</v>
      </c>
      <c r="H24" s="10" t="s">
        <v>41</v>
      </c>
      <c r="I24" s="11" t="s">
        <v>13</v>
      </c>
      <c r="K24" s="4" t="s">
        <v>5</v>
      </c>
      <c r="L24" s="4">
        <v>51</v>
      </c>
      <c r="M24" s="4" t="s">
        <v>6</v>
      </c>
      <c r="N24" s="4">
        <v>61.9</v>
      </c>
      <c r="O24" s="4">
        <v>34</v>
      </c>
      <c r="P24" s="4">
        <v>25.4</v>
      </c>
      <c r="Q24" s="5">
        <v>41.033925686591274</v>
      </c>
    </row>
    <row r="25" spans="1:26" x14ac:dyDescent="0.25">
      <c r="A25" s="4" t="s">
        <v>16</v>
      </c>
      <c r="B25" s="4">
        <v>64</v>
      </c>
      <c r="C25" s="4" t="s">
        <v>4</v>
      </c>
      <c r="D25" s="5">
        <v>83.5</v>
      </c>
      <c r="E25" s="5">
        <v>54.6</v>
      </c>
      <c r="F25" s="5">
        <v>25.2</v>
      </c>
      <c r="G25" s="5">
        <f t="shared" si="4"/>
        <v>30.179640718562876</v>
      </c>
      <c r="H25" s="10" t="s">
        <v>41</v>
      </c>
      <c r="I25" s="11" t="s">
        <v>16</v>
      </c>
      <c r="K25" s="4" t="s">
        <v>14</v>
      </c>
      <c r="L25" s="4">
        <v>55</v>
      </c>
      <c r="M25" s="4" t="s">
        <v>6</v>
      </c>
      <c r="N25" s="4">
        <v>57.8</v>
      </c>
      <c r="O25" s="4">
        <v>38.700000000000003</v>
      </c>
      <c r="P25" s="4">
        <v>7.2</v>
      </c>
      <c r="Q25" s="5">
        <v>12.456747404844291</v>
      </c>
    </row>
    <row r="26" spans="1:26" x14ac:dyDescent="0.25">
      <c r="A26" s="4" t="s">
        <v>17</v>
      </c>
      <c r="B26" s="4">
        <v>69</v>
      </c>
      <c r="C26" s="4" t="s">
        <v>4</v>
      </c>
      <c r="D26" s="5">
        <v>105.5</v>
      </c>
      <c r="E26" s="5">
        <v>61.5</v>
      </c>
      <c r="F26" s="5">
        <v>39.799999999999997</v>
      </c>
      <c r="G26" s="5">
        <f t="shared" si="4"/>
        <v>37.725118483412317</v>
      </c>
      <c r="H26" s="10" t="s">
        <v>41</v>
      </c>
      <c r="I26" s="11" t="s">
        <v>17</v>
      </c>
      <c r="K26" s="4" t="s">
        <v>19</v>
      </c>
      <c r="L26" s="4">
        <v>53</v>
      </c>
      <c r="M26" s="4" t="s">
        <v>6</v>
      </c>
      <c r="N26" s="4">
        <v>96.4</v>
      </c>
      <c r="O26" s="4">
        <v>50.4</v>
      </c>
      <c r="P26" s="4">
        <v>43.1</v>
      </c>
      <c r="Q26" s="5">
        <v>44.709543568464724</v>
      </c>
      <c r="S26" s="3"/>
      <c r="T26" s="3"/>
      <c r="U26" s="3"/>
      <c r="V26" s="3"/>
    </row>
    <row r="27" spans="1:26" x14ac:dyDescent="0.25">
      <c r="A27" s="4" t="s">
        <v>23</v>
      </c>
      <c r="B27" s="4">
        <v>60</v>
      </c>
      <c r="C27" s="4" t="s">
        <v>4</v>
      </c>
      <c r="D27" s="5">
        <v>68.099999999999994</v>
      </c>
      <c r="E27" s="5">
        <v>44.5</v>
      </c>
      <c r="F27" s="5">
        <v>20.8</v>
      </c>
      <c r="G27" s="5">
        <f t="shared" si="4"/>
        <v>30.543318649045524</v>
      </c>
      <c r="H27" s="10" t="s">
        <v>40</v>
      </c>
      <c r="I27" s="11" t="s">
        <v>23</v>
      </c>
      <c r="K27" s="4" t="s">
        <v>22</v>
      </c>
      <c r="L27" s="4">
        <v>55</v>
      </c>
      <c r="M27" s="4" t="s">
        <v>6</v>
      </c>
      <c r="N27" s="4">
        <v>96.8</v>
      </c>
      <c r="O27" s="4">
        <v>49.1</v>
      </c>
      <c r="P27" s="4">
        <v>44.5</v>
      </c>
      <c r="Q27" s="5">
        <v>45.971074380165291</v>
      </c>
      <c r="S27" s="3"/>
      <c r="T27" s="3"/>
      <c r="U27" s="3"/>
      <c r="V27" s="3"/>
      <c r="W27" s="3"/>
      <c r="X27" s="3"/>
      <c r="Y27" s="3"/>
      <c r="Z27" s="3"/>
    </row>
    <row r="28" spans="1:26" x14ac:dyDescent="0.25">
      <c r="A28" s="4" t="s">
        <v>27</v>
      </c>
      <c r="B28" s="4">
        <v>63</v>
      </c>
      <c r="C28" s="4" t="s">
        <v>4</v>
      </c>
      <c r="D28" s="5">
        <v>92.9</v>
      </c>
      <c r="E28" s="5">
        <v>58.3</v>
      </c>
      <c r="F28" s="5">
        <v>31.4</v>
      </c>
      <c r="G28" s="5">
        <f t="shared" si="4"/>
        <v>33.799784714747041</v>
      </c>
      <c r="H28" s="10" t="s">
        <v>40</v>
      </c>
      <c r="I28" s="11" t="s">
        <v>27</v>
      </c>
      <c r="K28" s="4" t="s">
        <v>26</v>
      </c>
      <c r="L28" s="4">
        <v>54</v>
      </c>
      <c r="M28" s="4" t="s">
        <v>6</v>
      </c>
      <c r="N28" s="4">
        <v>71.900000000000006</v>
      </c>
      <c r="O28" s="4">
        <v>39.4</v>
      </c>
      <c r="P28" s="4">
        <v>29.8</v>
      </c>
      <c r="Q28" s="5">
        <v>41.446453407510425</v>
      </c>
      <c r="V28" s="5"/>
      <c r="W28" s="5"/>
      <c r="X28" s="5"/>
      <c r="Y28" s="5"/>
      <c r="Z28" s="20"/>
    </row>
    <row r="29" spans="1:26" x14ac:dyDescent="0.25">
      <c r="A29" s="4" t="s">
        <v>29</v>
      </c>
      <c r="B29" s="4">
        <v>60</v>
      </c>
      <c r="C29" s="4" t="s">
        <v>4</v>
      </c>
      <c r="D29" s="5">
        <v>80.8</v>
      </c>
      <c r="E29" s="5">
        <v>48.4</v>
      </c>
      <c r="F29" s="5">
        <v>28.6</v>
      </c>
      <c r="G29" s="5">
        <f>(F29*100/D29)</f>
        <v>35.396039603960396</v>
      </c>
      <c r="H29" s="10" t="s">
        <v>40</v>
      </c>
      <c r="I29" s="11" t="s">
        <v>29</v>
      </c>
      <c r="K29" s="21" t="s">
        <v>42</v>
      </c>
      <c r="L29" s="21">
        <v>59</v>
      </c>
      <c r="M29" s="21" t="s">
        <v>6</v>
      </c>
      <c r="N29" s="22">
        <v>97</v>
      </c>
      <c r="O29" s="21">
        <v>54.1</v>
      </c>
      <c r="P29" s="21">
        <v>40</v>
      </c>
      <c r="Q29" s="22">
        <f>(P29*100/N29)</f>
        <v>41.237113402061858</v>
      </c>
      <c r="R29" s="21" t="s">
        <v>153</v>
      </c>
      <c r="V29" s="5"/>
      <c r="W29" s="5"/>
      <c r="X29" s="5"/>
      <c r="Y29" s="5"/>
      <c r="Z29" s="20"/>
    </row>
    <row r="30" spans="1:26" s="3" customFormat="1" x14ac:dyDescent="0.25">
      <c r="A30" s="4" t="s">
        <v>30</v>
      </c>
      <c r="B30" s="4">
        <v>50</v>
      </c>
      <c r="C30" s="4" t="s">
        <v>4</v>
      </c>
      <c r="D30" s="5">
        <v>89.1</v>
      </c>
      <c r="E30" s="5">
        <v>53.1</v>
      </c>
      <c r="F30" s="5">
        <v>33.200000000000003</v>
      </c>
      <c r="G30" s="5">
        <f>(F30*100/D30)</f>
        <v>37.261503928170605</v>
      </c>
      <c r="H30" s="10" t="s">
        <v>41</v>
      </c>
      <c r="I30" s="11" t="s">
        <v>30</v>
      </c>
      <c r="K30" s="4" t="s">
        <v>28</v>
      </c>
      <c r="L30" s="4">
        <v>70</v>
      </c>
      <c r="M30" s="4" t="s">
        <v>6</v>
      </c>
      <c r="N30" s="4">
        <v>56.3</v>
      </c>
      <c r="O30" s="4">
        <v>32.6</v>
      </c>
      <c r="P30" s="4">
        <v>21.9</v>
      </c>
      <c r="Q30" s="5">
        <v>38.898756660746002</v>
      </c>
      <c r="S30" s="4"/>
      <c r="T30" s="4"/>
      <c r="U30" s="4"/>
      <c r="V30" s="5"/>
      <c r="W30" s="5"/>
      <c r="X30" s="5"/>
      <c r="Y30" s="5"/>
      <c r="Z30" s="20"/>
    </row>
    <row r="31" spans="1:26" s="3" customFormat="1" x14ac:dyDescent="0.25">
      <c r="A31" s="4" t="s">
        <v>149</v>
      </c>
      <c r="B31" s="4">
        <v>63</v>
      </c>
      <c r="C31" s="4" t="s">
        <v>4</v>
      </c>
      <c r="D31" s="4">
        <v>86.3</v>
      </c>
      <c r="E31" s="4">
        <v>62.7</v>
      </c>
      <c r="F31" s="4">
        <v>20.2</v>
      </c>
      <c r="G31" s="5">
        <f>(F31*100/D31)</f>
        <v>23.406720741599074</v>
      </c>
      <c r="H31" s="10" t="s">
        <v>41</v>
      </c>
      <c r="I31" s="11" t="s">
        <v>149</v>
      </c>
      <c r="K31" s="4" t="s">
        <v>150</v>
      </c>
      <c r="L31" s="4">
        <v>60</v>
      </c>
      <c r="M31" s="4" t="s">
        <v>6</v>
      </c>
      <c r="N31" s="4">
        <v>65</v>
      </c>
      <c r="O31" s="4">
        <v>36.5</v>
      </c>
      <c r="P31" s="4">
        <v>26</v>
      </c>
      <c r="Q31" s="4">
        <f t="shared" ref="Q31" si="5">(P31*100/N31)</f>
        <v>40</v>
      </c>
      <c r="S31" s="4"/>
      <c r="T31" s="4"/>
      <c r="U31" s="4"/>
      <c r="V31" s="5"/>
      <c r="W31" s="5"/>
      <c r="X31" s="5"/>
      <c r="Y31" s="5"/>
      <c r="Z31" s="20"/>
    </row>
    <row r="32" spans="1:26" x14ac:dyDescent="0.25">
      <c r="A32" s="3" t="s">
        <v>33</v>
      </c>
      <c r="B32" s="6">
        <f>AVERAGE(B2:B31)</f>
        <v>55.785714285714285</v>
      </c>
      <c r="C32" s="6"/>
      <c r="D32" s="8">
        <f>AVERAGE(D2:D31)</f>
        <v>85.9</v>
      </c>
      <c r="E32" s="8">
        <f t="shared" ref="E32:G32" si="6">AVERAGE(E2:E31)</f>
        <v>51.135714285714286</v>
      </c>
      <c r="F32" s="8">
        <f t="shared" si="6"/>
        <v>31.564285714285713</v>
      </c>
      <c r="G32" s="8">
        <f t="shared" si="6"/>
        <v>36.117771956206283</v>
      </c>
      <c r="H32" s="3"/>
      <c r="I32" s="3"/>
      <c r="K32" s="4" t="s">
        <v>3</v>
      </c>
      <c r="L32" s="4">
        <v>45</v>
      </c>
      <c r="M32" s="4" t="s">
        <v>4</v>
      </c>
      <c r="N32" s="4">
        <v>145.69999999999999</v>
      </c>
      <c r="O32" s="4">
        <v>75.8</v>
      </c>
      <c r="P32" s="4">
        <v>63.9</v>
      </c>
      <c r="Q32" s="5">
        <v>43.857240905971175</v>
      </c>
      <c r="V32" s="5"/>
      <c r="W32" s="5"/>
      <c r="X32" s="5"/>
      <c r="Y32" s="5"/>
      <c r="Z32" s="20"/>
    </row>
    <row r="33" spans="1:26" x14ac:dyDescent="0.25">
      <c r="A33" s="3" t="s">
        <v>34</v>
      </c>
      <c r="B33" s="6">
        <f>STDEV(B2:B30)</f>
        <v>7.1649272387221412</v>
      </c>
      <c r="C33" s="6"/>
      <c r="D33" s="8">
        <f>STDEV(D2:D31)</f>
        <v>20.619498143837109</v>
      </c>
      <c r="E33" s="8">
        <f t="shared" ref="E33:G33" si="7">STDEV(E2:E31)</f>
        <v>11.832792297043554</v>
      </c>
      <c r="F33" s="8">
        <f t="shared" si="7"/>
        <v>12.177733605527589</v>
      </c>
      <c r="G33" s="8">
        <f t="shared" si="7"/>
        <v>8.2669198313656462</v>
      </c>
      <c r="H33" s="3"/>
      <c r="I33" s="3"/>
      <c r="K33" s="4" t="s">
        <v>9</v>
      </c>
      <c r="L33" s="4">
        <v>56</v>
      </c>
      <c r="M33" s="4" t="s">
        <v>4</v>
      </c>
      <c r="N33" s="5">
        <v>102.5</v>
      </c>
      <c r="O33" s="5">
        <v>63.1</v>
      </c>
      <c r="P33" s="5">
        <v>36.5</v>
      </c>
      <c r="Q33" s="5">
        <f>(P33*100/N33)</f>
        <v>35.609756097560975</v>
      </c>
      <c r="R33" s="8"/>
      <c r="V33" s="5"/>
      <c r="W33" s="5"/>
      <c r="X33" s="5"/>
      <c r="Y33" s="5"/>
      <c r="Z33" s="20"/>
    </row>
    <row r="34" spans="1:26" x14ac:dyDescent="0.25">
      <c r="K34" s="4" t="s">
        <v>11</v>
      </c>
      <c r="L34" s="4">
        <v>53</v>
      </c>
      <c r="M34" s="4" t="s">
        <v>4</v>
      </c>
      <c r="N34" s="5">
        <v>99.1</v>
      </c>
      <c r="O34" s="5">
        <v>70.099999999999994</v>
      </c>
      <c r="P34" s="5">
        <v>24.7</v>
      </c>
      <c r="Q34" s="5">
        <f>(P34*100/N34)</f>
        <v>24.924318869828458</v>
      </c>
      <c r="R34" s="8"/>
      <c r="S34" s="3"/>
      <c r="T34" s="8"/>
      <c r="U34" s="8"/>
      <c r="V34" s="8"/>
      <c r="W34" s="8"/>
      <c r="X34" s="8"/>
      <c r="Y34" s="8"/>
      <c r="Z34" s="20"/>
    </row>
    <row r="35" spans="1:26" x14ac:dyDescent="0.25">
      <c r="A35" s="13" t="s">
        <v>45</v>
      </c>
      <c r="K35" s="4" t="s">
        <v>12</v>
      </c>
      <c r="L35" s="4">
        <v>46</v>
      </c>
      <c r="M35" s="4" t="s">
        <v>4</v>
      </c>
      <c r="N35" s="4">
        <v>95.5</v>
      </c>
      <c r="O35" s="4">
        <v>69.7</v>
      </c>
      <c r="P35" s="4">
        <v>25.9</v>
      </c>
      <c r="Q35" s="5">
        <v>27.120418848167539</v>
      </c>
      <c r="R35" s="7"/>
      <c r="S35" s="3"/>
      <c r="T35" s="8"/>
      <c r="U35" s="8"/>
      <c r="V35" s="8"/>
      <c r="W35" s="8"/>
      <c r="X35" s="8"/>
      <c r="Y35" s="8"/>
      <c r="Z35" s="8"/>
    </row>
    <row r="36" spans="1:26" x14ac:dyDescent="0.25">
      <c r="K36" s="4" t="s">
        <v>23</v>
      </c>
      <c r="L36" s="4">
        <v>60</v>
      </c>
      <c r="M36" s="4" t="s">
        <v>4</v>
      </c>
      <c r="N36" s="4">
        <v>68.099999999999994</v>
      </c>
      <c r="O36" s="4">
        <v>44.5</v>
      </c>
      <c r="P36" s="4">
        <v>20.8</v>
      </c>
      <c r="Q36" s="5">
        <v>30.543318649045524</v>
      </c>
      <c r="S36" s="3"/>
      <c r="T36" s="3"/>
      <c r="U36" s="3"/>
      <c r="V36" s="3"/>
      <c r="W36" s="3"/>
      <c r="X36" s="3"/>
      <c r="Y36" s="3"/>
      <c r="Z36" s="8"/>
    </row>
    <row r="37" spans="1:26" x14ac:dyDescent="0.25">
      <c r="A37" s="4" t="s">
        <v>152</v>
      </c>
      <c r="K37" s="4" t="s">
        <v>27</v>
      </c>
      <c r="L37" s="4">
        <v>63</v>
      </c>
      <c r="M37" s="4" t="s">
        <v>4</v>
      </c>
      <c r="N37" s="5">
        <v>92.9</v>
      </c>
      <c r="O37" s="5">
        <v>58.3</v>
      </c>
      <c r="P37" s="5">
        <v>31.4</v>
      </c>
      <c r="Q37" s="5">
        <f t="shared" ref="Q37" si="8">(P37*100/N37)</f>
        <v>33.799784714747041</v>
      </c>
      <c r="Z37" s="3"/>
    </row>
    <row r="38" spans="1:26" x14ac:dyDescent="0.25">
      <c r="A38" s="4" t="s">
        <v>20</v>
      </c>
      <c r="B38" s="4">
        <v>44</v>
      </c>
      <c r="C38" s="4" t="s">
        <v>6</v>
      </c>
      <c r="D38" s="5">
        <v>74.3</v>
      </c>
      <c r="E38" s="5">
        <v>36.1</v>
      </c>
      <c r="F38" s="5">
        <v>35.700000000000003</v>
      </c>
      <c r="G38" s="5">
        <f>(F38*100/D38)</f>
        <v>48.048452220726794</v>
      </c>
      <c r="H38" s="10" t="s">
        <v>41</v>
      </c>
      <c r="I38" s="11" t="s">
        <v>20</v>
      </c>
      <c r="K38" s="4" t="s">
        <v>29</v>
      </c>
      <c r="L38" s="4">
        <v>60</v>
      </c>
      <c r="M38" s="4" t="s">
        <v>4</v>
      </c>
      <c r="N38" s="4">
        <v>80.8</v>
      </c>
      <c r="O38" s="4">
        <v>48.4</v>
      </c>
      <c r="P38" s="4">
        <v>28.6</v>
      </c>
      <c r="Q38" s="5">
        <v>35.396039603960396</v>
      </c>
      <c r="V38" s="5"/>
      <c r="W38" s="5"/>
      <c r="X38" s="5"/>
      <c r="Y38" s="5"/>
    </row>
    <row r="39" spans="1:26" x14ac:dyDescent="0.25">
      <c r="A39" s="4" t="s">
        <v>42</v>
      </c>
      <c r="B39" s="4">
        <v>59</v>
      </c>
      <c r="C39" s="4" t="s">
        <v>6</v>
      </c>
      <c r="D39" s="4">
        <v>97</v>
      </c>
      <c r="E39" s="4">
        <v>54.1</v>
      </c>
      <c r="F39" s="4">
        <v>40</v>
      </c>
      <c r="G39" s="5">
        <f>(F39*100/D39)</f>
        <v>41.237113402061858</v>
      </c>
      <c r="H39" s="10" t="s">
        <v>40</v>
      </c>
      <c r="I39" s="11" t="s">
        <v>42</v>
      </c>
      <c r="K39" s="3" t="s">
        <v>33</v>
      </c>
      <c r="L39" s="8">
        <f>AVERAGE(L24:L38)</f>
        <v>56</v>
      </c>
      <c r="M39" s="8"/>
      <c r="N39" s="8">
        <f>AVERAGE(N24:N38)</f>
        <v>85.846666666666664</v>
      </c>
      <c r="O39" s="8">
        <f>AVERAGE(O24:O38)</f>
        <v>50.980000000000004</v>
      </c>
      <c r="P39" s="8">
        <f>AVERAGE(P24:P38)</f>
        <v>31.313333333333333</v>
      </c>
      <c r="Q39" s="8">
        <f>AVERAGE(Q24:Q38)</f>
        <v>35.800299479977667</v>
      </c>
      <c r="V39" s="5"/>
      <c r="W39" s="5"/>
      <c r="X39" s="5"/>
      <c r="Y39" s="5"/>
      <c r="Z39" s="20"/>
    </row>
    <row r="40" spans="1:26" x14ac:dyDescent="0.25">
      <c r="K40" s="3" t="s">
        <v>34</v>
      </c>
      <c r="L40" s="8">
        <f>STDEV(L24:L38)</f>
        <v>6.3919592346277412</v>
      </c>
      <c r="M40" s="8"/>
      <c r="N40" s="8">
        <f>STDEV(N24:N38)</f>
        <v>23.507836585963862</v>
      </c>
      <c r="O40" s="8">
        <f>STDEV(O24:O38)</f>
        <v>13.927065120015151</v>
      </c>
      <c r="P40" s="8">
        <f>STDEV(P24:P38)</f>
        <v>13.10277324335069</v>
      </c>
      <c r="Q40" s="8">
        <f>STDEV(Q24:Q38)</f>
        <v>9.0007408702068687</v>
      </c>
      <c r="V40" s="5"/>
      <c r="W40" s="5"/>
      <c r="X40" s="5"/>
      <c r="Y40" s="5"/>
      <c r="Z40" s="20"/>
    </row>
    <row r="41" spans="1:26" x14ac:dyDescent="0.25">
      <c r="K41" s="3" t="s">
        <v>39</v>
      </c>
      <c r="L41" s="7">
        <f>TTEST(L3:L17,L24:L38,2,2)</f>
        <v>0.71363485428568296</v>
      </c>
      <c r="M41" s="7"/>
      <c r="N41" s="7">
        <f>TTEST(N3:N17,N24:N38,2,2)</f>
        <v>0.99224314008459813</v>
      </c>
      <c r="O41" s="7">
        <f>TTEST(O3:O17,O24:O38,2,2)</f>
        <v>0.91090298573925288</v>
      </c>
      <c r="P41" s="7">
        <f>TTEST(P3:P17,P24:P38,2,2)</f>
        <v>0.76318871795693188</v>
      </c>
      <c r="Q41" s="7">
        <f>TTEST(Q3:Q17,Q24:Q38,2,2)</f>
        <v>0.56863005648094456</v>
      </c>
      <c r="V41" s="5"/>
      <c r="W41" s="5"/>
      <c r="X41" s="5"/>
      <c r="Y41" s="5"/>
      <c r="Z41" s="20"/>
    </row>
    <row r="42" spans="1:26" x14ac:dyDescent="0.25">
      <c r="V42" s="5"/>
      <c r="W42" s="5"/>
      <c r="X42" s="5"/>
      <c r="Y42" s="5"/>
      <c r="Z42" s="20"/>
    </row>
    <row r="43" spans="1:26" x14ac:dyDescent="0.25">
      <c r="V43" s="5"/>
      <c r="W43" s="5"/>
      <c r="X43" s="5"/>
      <c r="Y43" s="5"/>
      <c r="Z43" s="20"/>
    </row>
    <row r="44" spans="1:26" x14ac:dyDescent="0.25">
      <c r="S44" s="3"/>
      <c r="T44" s="8"/>
      <c r="U44" s="8"/>
      <c r="V44" s="8"/>
      <c r="W44" s="8"/>
      <c r="X44" s="8"/>
      <c r="Y44" s="8"/>
      <c r="Z44" s="20"/>
    </row>
    <row r="45" spans="1:26" x14ac:dyDescent="0.25">
      <c r="S45" s="3"/>
      <c r="T45" s="8"/>
      <c r="U45" s="8"/>
      <c r="V45" s="8"/>
      <c r="W45" s="8"/>
      <c r="X45" s="8"/>
      <c r="Y45" s="8"/>
      <c r="Z45" s="20"/>
    </row>
    <row r="46" spans="1:26" x14ac:dyDescent="0.25">
      <c r="S46" s="3"/>
      <c r="T46" s="7"/>
      <c r="U46" s="7"/>
      <c r="V46" s="7"/>
      <c r="W46" s="7"/>
      <c r="X46" s="7"/>
      <c r="Y46" s="7"/>
      <c r="Z46" s="7"/>
    </row>
  </sheetData>
  <autoFilter ref="A1:H1" xr:uid="{2AD0D7D3-0654-4293-BF66-26E22BD49C29}"/>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9DF5-2C4B-4E2F-BD2C-0F5C15794FF1}">
  <dimension ref="A1"/>
  <sheetViews>
    <sheetView workbookViewId="0">
      <selection activeCell="D32" sqref="D32"/>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6FB3-F5F9-43D7-B51C-9928B042282A}">
  <dimension ref="A1:F41"/>
  <sheetViews>
    <sheetView zoomScale="70" zoomScaleNormal="70" workbookViewId="0">
      <selection activeCell="D23" sqref="D23:D40"/>
    </sheetView>
  </sheetViews>
  <sheetFormatPr defaultRowHeight="15" x14ac:dyDescent="0.25"/>
  <cols>
    <col min="1" max="1" width="17.140625" customWidth="1"/>
    <col min="2" max="2" width="37.85546875" style="1" bestFit="1" customWidth="1"/>
    <col min="3" max="4" width="39" style="1" customWidth="1"/>
  </cols>
  <sheetData>
    <row r="1" spans="1:6" x14ac:dyDescent="0.25">
      <c r="A1" s="3" t="s">
        <v>43</v>
      </c>
      <c r="F1" t="s">
        <v>176</v>
      </c>
    </row>
    <row r="2" spans="1:6" x14ac:dyDescent="0.25">
      <c r="A2" s="4" t="s">
        <v>0</v>
      </c>
      <c r="B2" s="45" t="s">
        <v>174</v>
      </c>
      <c r="C2" s="45" t="s">
        <v>175</v>
      </c>
      <c r="D2" s="45" t="s">
        <v>397</v>
      </c>
    </row>
    <row r="3" spans="1:6" x14ac:dyDescent="0.25">
      <c r="A3" s="4" t="s">
        <v>10</v>
      </c>
      <c r="B3" s="1">
        <v>168</v>
      </c>
      <c r="C3" s="1">
        <v>4</v>
      </c>
      <c r="D3" s="42">
        <f>(B3-C3)*100/B3</f>
        <v>97.61904761904762</v>
      </c>
      <c r="F3" t="s">
        <v>177</v>
      </c>
    </row>
    <row r="4" spans="1:6" x14ac:dyDescent="0.25">
      <c r="A4" s="4" t="s">
        <v>18</v>
      </c>
      <c r="B4" s="1">
        <v>168</v>
      </c>
      <c r="C4" s="1">
        <v>0</v>
      </c>
      <c r="D4" s="42">
        <f t="shared" ref="D4:D17" si="0">(B4-C4)*100/B4</f>
        <v>100</v>
      </c>
    </row>
    <row r="5" spans="1:6" x14ac:dyDescent="0.25">
      <c r="A5" s="4" t="s">
        <v>20</v>
      </c>
      <c r="B5" s="1">
        <v>168</v>
      </c>
      <c r="C5" s="1">
        <v>0</v>
      </c>
      <c r="D5" s="42">
        <f t="shared" si="0"/>
        <v>100</v>
      </c>
    </row>
    <row r="6" spans="1:6" x14ac:dyDescent="0.25">
      <c r="A6" s="4" t="s">
        <v>21</v>
      </c>
      <c r="B6" s="1">
        <v>168</v>
      </c>
      <c r="C6" s="1">
        <v>0</v>
      </c>
      <c r="D6" s="42">
        <f t="shared" si="0"/>
        <v>100</v>
      </c>
    </row>
    <row r="7" spans="1:6" x14ac:dyDescent="0.25">
      <c r="A7" s="4" t="s">
        <v>24</v>
      </c>
      <c r="B7" s="1">
        <v>168</v>
      </c>
      <c r="C7" s="1">
        <v>0</v>
      </c>
      <c r="D7" s="42">
        <f t="shared" si="0"/>
        <v>100</v>
      </c>
    </row>
    <row r="8" spans="1:6" x14ac:dyDescent="0.25">
      <c r="A8" s="4" t="s">
        <v>25</v>
      </c>
      <c r="B8" s="1">
        <v>168</v>
      </c>
      <c r="C8" s="1">
        <v>0</v>
      </c>
      <c r="D8" s="42">
        <f t="shared" si="0"/>
        <v>100</v>
      </c>
    </row>
    <row r="9" spans="1:6" x14ac:dyDescent="0.25">
      <c r="A9" s="4" t="s">
        <v>31</v>
      </c>
      <c r="B9" s="1">
        <v>168</v>
      </c>
      <c r="C9" s="1">
        <v>2</v>
      </c>
      <c r="D9" s="42">
        <f t="shared" si="0"/>
        <v>98.80952380952381</v>
      </c>
    </row>
    <row r="10" spans="1:6" x14ac:dyDescent="0.25">
      <c r="A10" s="4" t="s">
        <v>32</v>
      </c>
      <c r="B10" s="1">
        <v>168</v>
      </c>
      <c r="C10" s="1">
        <v>4</v>
      </c>
      <c r="D10" s="42">
        <f t="shared" si="0"/>
        <v>97.61904761904762</v>
      </c>
    </row>
    <row r="11" spans="1:6" x14ac:dyDescent="0.25">
      <c r="A11" s="4" t="s">
        <v>7</v>
      </c>
      <c r="B11" s="1">
        <v>168</v>
      </c>
      <c r="C11" s="1">
        <v>4</v>
      </c>
      <c r="D11" s="42">
        <f t="shared" si="0"/>
        <v>97.61904761904762</v>
      </c>
    </row>
    <row r="12" spans="1:6" x14ac:dyDescent="0.25">
      <c r="A12" s="4" t="s">
        <v>8</v>
      </c>
      <c r="B12" s="1">
        <v>168</v>
      </c>
      <c r="C12" s="1">
        <v>4</v>
      </c>
      <c r="D12" s="42">
        <f t="shared" si="0"/>
        <v>97.61904761904762</v>
      </c>
    </row>
    <row r="13" spans="1:6" x14ac:dyDescent="0.25">
      <c r="A13" s="4" t="s">
        <v>13</v>
      </c>
      <c r="B13" s="1">
        <v>168</v>
      </c>
      <c r="C13" s="1">
        <v>0</v>
      </c>
      <c r="D13" s="42">
        <f t="shared" si="0"/>
        <v>100</v>
      </c>
    </row>
    <row r="14" spans="1:6" x14ac:dyDescent="0.25">
      <c r="A14" s="4" t="s">
        <v>16</v>
      </c>
      <c r="B14" s="1">
        <v>168</v>
      </c>
      <c r="C14" s="1">
        <v>2</v>
      </c>
      <c r="D14" s="42">
        <f t="shared" si="0"/>
        <v>98.80952380952381</v>
      </c>
    </row>
    <row r="15" spans="1:6" x14ac:dyDescent="0.25">
      <c r="A15" s="4" t="s">
        <v>17</v>
      </c>
      <c r="B15" s="1">
        <v>168</v>
      </c>
      <c r="C15" s="1">
        <v>4</v>
      </c>
      <c r="D15" s="42">
        <f t="shared" si="0"/>
        <v>97.61904761904762</v>
      </c>
    </row>
    <row r="16" spans="1:6" x14ac:dyDescent="0.25">
      <c r="A16" s="4" t="s">
        <v>30</v>
      </c>
      <c r="B16" s="1">
        <v>168</v>
      </c>
      <c r="C16" s="1">
        <v>6</v>
      </c>
      <c r="D16" s="42">
        <f t="shared" si="0"/>
        <v>96.428571428571431</v>
      </c>
    </row>
    <row r="17" spans="1:4" x14ac:dyDescent="0.25">
      <c r="A17" s="4" t="s">
        <v>149</v>
      </c>
      <c r="B17" s="1">
        <v>168</v>
      </c>
      <c r="C17" s="1">
        <v>14</v>
      </c>
      <c r="D17" s="42">
        <f t="shared" si="0"/>
        <v>91.666666666666671</v>
      </c>
    </row>
    <row r="18" spans="1:4" x14ac:dyDescent="0.25">
      <c r="A18" s="3" t="s">
        <v>33</v>
      </c>
      <c r="B18" s="45"/>
      <c r="C18" s="46">
        <f>AVERAGE(C2:C17)</f>
        <v>2.9333333333333331</v>
      </c>
      <c r="D18" s="46">
        <f>AVERAGE(D2:D17)</f>
        <v>98.253968253968253</v>
      </c>
    </row>
    <row r="19" spans="1:4" x14ac:dyDescent="0.25">
      <c r="A19" s="3" t="s">
        <v>34</v>
      </c>
      <c r="B19" s="45"/>
      <c r="C19" s="46">
        <f>STDEV(C2:C17)</f>
        <v>3.6929791819200983</v>
      </c>
      <c r="D19" s="46">
        <f>STDEV(D2:D17)</f>
        <v>2.1982018940000572</v>
      </c>
    </row>
    <row r="20" spans="1:4" x14ac:dyDescent="0.25">
      <c r="A20" s="4"/>
    </row>
    <row r="22" spans="1:4" x14ac:dyDescent="0.25">
      <c r="A22" s="3" t="s">
        <v>44</v>
      </c>
    </row>
    <row r="23" spans="1:4" x14ac:dyDescent="0.25">
      <c r="A23" s="4" t="s">
        <v>0</v>
      </c>
      <c r="B23" s="45" t="s">
        <v>174</v>
      </c>
      <c r="C23" s="45" t="s">
        <v>175</v>
      </c>
      <c r="D23" s="45" t="s">
        <v>397</v>
      </c>
    </row>
    <row r="24" spans="1:4" x14ac:dyDescent="0.25">
      <c r="A24" s="4" t="s">
        <v>5</v>
      </c>
      <c r="B24" s="1">
        <v>168</v>
      </c>
      <c r="C24" s="1">
        <v>4</v>
      </c>
      <c r="D24" s="42">
        <f>(B24-C24)*100/B24</f>
        <v>97.61904761904762</v>
      </c>
    </row>
    <row r="25" spans="1:4" x14ac:dyDescent="0.25">
      <c r="A25" s="4" t="s">
        <v>14</v>
      </c>
      <c r="B25" s="1">
        <v>168</v>
      </c>
      <c r="C25" s="1">
        <v>0</v>
      </c>
      <c r="D25" s="42">
        <f t="shared" ref="D25:D38" si="1">(B25-C25)*100/B25</f>
        <v>100</v>
      </c>
    </row>
    <row r="26" spans="1:4" x14ac:dyDescent="0.25">
      <c r="A26" s="4" t="s">
        <v>19</v>
      </c>
      <c r="B26" s="1">
        <v>168</v>
      </c>
      <c r="C26" s="1">
        <v>4</v>
      </c>
      <c r="D26" s="42">
        <f t="shared" si="1"/>
        <v>97.61904761904762</v>
      </c>
    </row>
    <row r="27" spans="1:4" x14ac:dyDescent="0.25">
      <c r="A27" s="4" t="s">
        <v>22</v>
      </c>
      <c r="B27" s="1">
        <v>168</v>
      </c>
      <c r="C27" s="1">
        <v>0</v>
      </c>
      <c r="D27" s="42">
        <f t="shared" si="1"/>
        <v>100</v>
      </c>
    </row>
    <row r="28" spans="1:4" x14ac:dyDescent="0.25">
      <c r="A28" s="4" t="s">
        <v>26</v>
      </c>
      <c r="B28" s="1">
        <v>168</v>
      </c>
      <c r="C28" s="1">
        <v>6</v>
      </c>
      <c r="D28" s="42">
        <f t="shared" si="1"/>
        <v>96.428571428571431</v>
      </c>
    </row>
    <row r="29" spans="1:4" x14ac:dyDescent="0.25">
      <c r="A29" s="4" t="s">
        <v>42</v>
      </c>
      <c r="B29" s="1">
        <v>168</v>
      </c>
      <c r="C29" s="1">
        <v>0</v>
      </c>
      <c r="D29" s="42">
        <f t="shared" si="1"/>
        <v>100</v>
      </c>
    </row>
    <row r="30" spans="1:4" x14ac:dyDescent="0.25">
      <c r="A30" s="4" t="s">
        <v>28</v>
      </c>
      <c r="B30" s="1">
        <v>168</v>
      </c>
      <c r="C30" s="1">
        <v>8</v>
      </c>
      <c r="D30" s="42">
        <f t="shared" si="1"/>
        <v>95.238095238095241</v>
      </c>
    </row>
    <row r="31" spans="1:4" x14ac:dyDescent="0.25">
      <c r="A31" s="4" t="s">
        <v>150</v>
      </c>
      <c r="B31" s="1">
        <v>168</v>
      </c>
      <c r="C31" s="1">
        <v>2</v>
      </c>
      <c r="D31" s="42">
        <f t="shared" si="1"/>
        <v>98.80952380952381</v>
      </c>
    </row>
    <row r="32" spans="1:4" x14ac:dyDescent="0.25">
      <c r="A32" s="1" t="s">
        <v>3</v>
      </c>
      <c r="B32" s="1">
        <v>168</v>
      </c>
      <c r="C32" s="1">
        <v>0</v>
      </c>
      <c r="D32" s="42">
        <f t="shared" si="1"/>
        <v>100</v>
      </c>
    </row>
    <row r="33" spans="1:4" x14ac:dyDescent="0.25">
      <c r="A33" s="1" t="s">
        <v>9</v>
      </c>
      <c r="B33" s="1">
        <v>168</v>
      </c>
      <c r="C33" s="1">
        <v>0</v>
      </c>
      <c r="D33" s="42">
        <f t="shared" si="1"/>
        <v>100</v>
      </c>
    </row>
    <row r="34" spans="1:4" x14ac:dyDescent="0.25">
      <c r="A34" s="1" t="s">
        <v>11</v>
      </c>
      <c r="B34" s="1">
        <v>168</v>
      </c>
      <c r="C34" s="1">
        <v>0</v>
      </c>
      <c r="D34" s="42">
        <f t="shared" si="1"/>
        <v>100</v>
      </c>
    </row>
    <row r="35" spans="1:4" x14ac:dyDescent="0.25">
      <c r="A35" s="1" t="s">
        <v>12</v>
      </c>
      <c r="B35" s="1">
        <v>168</v>
      </c>
      <c r="C35" s="1">
        <v>0</v>
      </c>
      <c r="D35" s="42">
        <f t="shared" si="1"/>
        <v>100</v>
      </c>
    </row>
    <row r="36" spans="1:4" x14ac:dyDescent="0.25">
      <c r="A36" s="1" t="s">
        <v>23</v>
      </c>
      <c r="B36" s="1">
        <v>168</v>
      </c>
      <c r="C36" s="1">
        <v>0</v>
      </c>
      <c r="D36" s="42">
        <f t="shared" si="1"/>
        <v>100</v>
      </c>
    </row>
    <row r="37" spans="1:4" x14ac:dyDescent="0.25">
      <c r="A37" s="1" t="s">
        <v>27</v>
      </c>
      <c r="B37" s="1">
        <v>168</v>
      </c>
      <c r="C37" s="1">
        <v>2</v>
      </c>
      <c r="D37" s="42">
        <f t="shared" si="1"/>
        <v>98.80952380952381</v>
      </c>
    </row>
    <row r="38" spans="1:4" x14ac:dyDescent="0.25">
      <c r="A38" s="1" t="s">
        <v>29</v>
      </c>
      <c r="B38" s="1">
        <v>168</v>
      </c>
      <c r="C38" s="1">
        <v>0</v>
      </c>
      <c r="D38" s="42">
        <f t="shared" si="1"/>
        <v>100</v>
      </c>
    </row>
    <row r="39" spans="1:4" x14ac:dyDescent="0.25">
      <c r="A39" s="3" t="s">
        <v>33</v>
      </c>
      <c r="B39" s="45"/>
      <c r="C39" s="46">
        <f>AVERAGE(C23:C38)</f>
        <v>1.7333333333333334</v>
      </c>
      <c r="D39" s="46">
        <f>AVERAGE(D23:D38)</f>
        <v>98.968253968253975</v>
      </c>
    </row>
    <row r="40" spans="1:4" x14ac:dyDescent="0.25">
      <c r="A40" s="3" t="s">
        <v>34</v>
      </c>
      <c r="B40" s="45"/>
      <c r="C40" s="46">
        <f>STDEV(C23:C38)</f>
        <v>2.6040261866871424</v>
      </c>
      <c r="D40" s="46">
        <f>STDEV(D23:D38)</f>
        <v>1.5500155873137742</v>
      </c>
    </row>
    <row r="41" spans="1:4" x14ac:dyDescent="0.25">
      <c r="A41" t="s">
        <v>39</v>
      </c>
      <c r="C41" s="1">
        <f>TTEST(C3:C17,C24:C38,2,2)</f>
        <v>0.31251267825376494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0D4E-8DA9-45EF-AEF7-CC8890F76611}">
  <dimension ref="A1:S74"/>
  <sheetViews>
    <sheetView tabSelected="1" zoomScale="70" zoomScaleNormal="70" workbookViewId="0">
      <selection activeCell="J46" sqref="J46"/>
    </sheetView>
  </sheetViews>
  <sheetFormatPr defaultRowHeight="15" x14ac:dyDescent="0.25"/>
  <cols>
    <col min="1" max="1" width="15.5703125" customWidth="1"/>
    <col min="2" max="2" width="14" customWidth="1"/>
    <col min="3" max="3" width="12.5703125" customWidth="1"/>
    <col min="4" max="4" width="20.7109375" bestFit="1" customWidth="1"/>
    <col min="5" max="5" width="22.85546875" bestFit="1" customWidth="1"/>
    <col min="6" max="7" width="23.42578125" bestFit="1" customWidth="1"/>
    <col min="8" max="8" width="20.7109375" bestFit="1" customWidth="1"/>
    <col min="9" max="9" width="22.85546875" bestFit="1" customWidth="1"/>
    <col min="10" max="10" width="23.42578125" bestFit="1" customWidth="1"/>
    <col min="11" max="11" width="25.28515625" bestFit="1" customWidth="1"/>
    <col min="13" max="13" width="22.85546875" bestFit="1" customWidth="1"/>
    <col min="14" max="14" width="16.5703125" bestFit="1" customWidth="1"/>
    <col min="15" max="15" width="20.7109375" bestFit="1" customWidth="1"/>
    <col min="16" max="16" width="22.85546875" bestFit="1" customWidth="1"/>
    <col min="17" max="17" width="23.42578125" bestFit="1" customWidth="1"/>
    <col min="18" max="18" width="25.28515625" bestFit="1" customWidth="1"/>
    <col min="19" max="19" width="22.140625" bestFit="1" customWidth="1"/>
  </cols>
  <sheetData>
    <row r="1" spans="1:19" x14ac:dyDescent="0.25">
      <c r="A1" s="4" t="s">
        <v>43</v>
      </c>
      <c r="B1" s="4"/>
      <c r="C1" s="4"/>
      <c r="D1" s="27" t="s">
        <v>161</v>
      </c>
      <c r="E1" s="27"/>
      <c r="F1" s="27"/>
      <c r="G1" s="27"/>
      <c r="H1" s="131" t="s">
        <v>162</v>
      </c>
      <c r="I1" s="132"/>
      <c r="J1" s="132"/>
      <c r="K1" s="133"/>
      <c r="M1" t="s">
        <v>163</v>
      </c>
    </row>
    <row r="2" spans="1:19" x14ac:dyDescent="0.25">
      <c r="A2" s="3" t="s">
        <v>0</v>
      </c>
      <c r="B2" s="3" t="s">
        <v>1</v>
      </c>
      <c r="C2" s="3" t="s">
        <v>2</v>
      </c>
      <c r="D2" s="28" t="s">
        <v>157</v>
      </c>
      <c r="E2" s="28" t="s">
        <v>158</v>
      </c>
      <c r="F2" s="28" t="s">
        <v>159</v>
      </c>
      <c r="G2" s="28" t="s">
        <v>173</v>
      </c>
      <c r="H2" s="124" t="s">
        <v>157</v>
      </c>
      <c r="I2" s="3" t="s">
        <v>158</v>
      </c>
      <c r="J2" s="3" t="s">
        <v>159</v>
      </c>
      <c r="K2" s="125" t="s">
        <v>173</v>
      </c>
      <c r="M2" s="3" t="s">
        <v>0</v>
      </c>
      <c r="N2" s="3" t="s">
        <v>1</v>
      </c>
      <c r="O2" s="3" t="s">
        <v>157</v>
      </c>
      <c r="P2" s="3" t="s">
        <v>158</v>
      </c>
      <c r="Q2" s="3" t="s">
        <v>159</v>
      </c>
      <c r="R2" s="3" t="s">
        <v>173</v>
      </c>
      <c r="S2" s="3" t="s">
        <v>171</v>
      </c>
    </row>
    <row r="3" spans="1:19" x14ac:dyDescent="0.25">
      <c r="A3" s="4" t="s">
        <v>10</v>
      </c>
      <c r="B3" s="4">
        <v>59</v>
      </c>
      <c r="C3" s="4" t="s">
        <v>6</v>
      </c>
      <c r="D3" s="29">
        <v>89.6</v>
      </c>
      <c r="E3" s="29">
        <v>89.1</v>
      </c>
      <c r="F3" s="29">
        <v>55.3</v>
      </c>
      <c r="G3" s="29">
        <v>56.7</v>
      </c>
      <c r="H3" s="134">
        <v>40.641924685433317</v>
      </c>
      <c r="I3" s="25">
        <v>40.415128230715496</v>
      </c>
      <c r="J3" s="25">
        <f t="shared" ref="J3" si="0">F3/2.20462</f>
        <v>25.083687891790877</v>
      </c>
      <c r="K3" s="135">
        <f t="shared" ref="K3" si="1">G3/2.20462</f>
        <v>25.718717965000774</v>
      </c>
      <c r="M3" s="4" t="s">
        <v>10</v>
      </c>
      <c r="N3">
        <f>B3</f>
        <v>59</v>
      </c>
      <c r="O3" s="25">
        <v>40.641924685433317</v>
      </c>
      <c r="P3" s="25">
        <v>40.415128230715496</v>
      </c>
      <c r="Q3" s="25">
        <v>25.083687891790877</v>
      </c>
      <c r="R3" s="25">
        <v>25.718717965000774</v>
      </c>
      <c r="S3" s="25">
        <f>P3-O3</f>
        <v>-0.22679645471782095</v>
      </c>
    </row>
    <row r="4" spans="1:19" x14ac:dyDescent="0.25">
      <c r="A4" s="4" t="s">
        <v>18</v>
      </c>
      <c r="B4" s="4">
        <v>48</v>
      </c>
      <c r="C4" s="4" t="s">
        <v>6</v>
      </c>
      <c r="D4" s="29">
        <v>112.4</v>
      </c>
      <c r="E4" s="29">
        <v>112.3</v>
      </c>
      <c r="F4" s="30">
        <v>83.2</v>
      </c>
      <c r="G4" s="30">
        <v>84.4</v>
      </c>
      <c r="H4" s="134">
        <v>50.983843020565907</v>
      </c>
      <c r="I4" s="25">
        <v>50.938483729622341</v>
      </c>
      <c r="J4" s="25">
        <f t="shared" ref="J4:K4" si="2">F4/2.20462</f>
        <v>37.738930065045231</v>
      </c>
      <c r="K4" s="135">
        <f t="shared" si="2"/>
        <v>38.283241556367997</v>
      </c>
      <c r="M4" s="4" t="s">
        <v>18</v>
      </c>
      <c r="N4">
        <f t="shared" ref="N4:N17" si="3">B4</f>
        <v>48</v>
      </c>
      <c r="O4" s="25">
        <v>50.983843020565907</v>
      </c>
      <c r="P4" s="25">
        <v>50.938483729622341</v>
      </c>
      <c r="Q4" s="25">
        <v>37.738930065045231</v>
      </c>
      <c r="R4" s="25">
        <v>38.283241556367997</v>
      </c>
      <c r="S4" s="25">
        <f t="shared" ref="S4:S32" si="4">P4-O4</f>
        <v>-4.5359290943565611E-2</v>
      </c>
    </row>
    <row r="5" spans="1:19" x14ac:dyDescent="0.25">
      <c r="A5" s="21" t="s">
        <v>20</v>
      </c>
      <c r="B5" s="21">
        <v>44</v>
      </c>
      <c r="C5" s="21" t="s">
        <v>6</v>
      </c>
      <c r="D5" s="114" t="s">
        <v>152</v>
      </c>
      <c r="E5" s="114"/>
      <c r="F5" s="114"/>
      <c r="G5" s="114"/>
      <c r="H5" s="136"/>
      <c r="I5" s="24"/>
      <c r="J5" s="24"/>
      <c r="K5" s="137"/>
      <c r="M5" s="21" t="s">
        <v>20</v>
      </c>
      <c r="O5" s="24"/>
      <c r="P5" s="24"/>
      <c r="Q5" s="24"/>
      <c r="R5" s="24"/>
      <c r="S5" s="25"/>
    </row>
    <row r="6" spans="1:19" x14ac:dyDescent="0.25">
      <c r="A6" s="4" t="s">
        <v>21</v>
      </c>
      <c r="B6" s="4">
        <v>63</v>
      </c>
      <c r="C6" s="4" t="s">
        <v>6</v>
      </c>
      <c r="D6" s="31">
        <v>95</v>
      </c>
      <c r="E6" s="29">
        <v>97.1</v>
      </c>
      <c r="F6" s="30">
        <v>85.8</v>
      </c>
      <c r="G6" s="30">
        <v>87.6</v>
      </c>
      <c r="H6" s="134">
        <v>43.091326396385774</v>
      </c>
      <c r="I6" s="25">
        <v>44.043871506200617</v>
      </c>
      <c r="J6" s="25">
        <f t="shared" ref="J6:J17" si="5">F6/2.20462</f>
        <v>38.918271629577887</v>
      </c>
      <c r="K6" s="135">
        <f t="shared" ref="K6:K17" si="6">G6/2.20462</f>
        <v>39.73473886656204</v>
      </c>
      <c r="M6" s="4" t="s">
        <v>21</v>
      </c>
      <c r="N6">
        <f t="shared" si="3"/>
        <v>63</v>
      </c>
      <c r="O6" s="25">
        <v>43.091326396385774</v>
      </c>
      <c r="P6" s="25">
        <v>44.043871506200617</v>
      </c>
      <c r="Q6" s="25">
        <v>38.918271629577887</v>
      </c>
      <c r="R6" s="25">
        <v>39.73473886656204</v>
      </c>
      <c r="S6" s="25">
        <f t="shared" si="4"/>
        <v>0.95254510981484231</v>
      </c>
    </row>
    <row r="7" spans="1:19" x14ac:dyDescent="0.25">
      <c r="A7" s="4" t="s">
        <v>24</v>
      </c>
      <c r="B7" s="4">
        <v>54</v>
      </c>
      <c r="C7" s="4" t="s">
        <v>6</v>
      </c>
      <c r="D7" s="29">
        <v>96.6</v>
      </c>
      <c r="E7" s="29">
        <v>99.8</v>
      </c>
      <c r="F7" s="29">
        <v>72.900000000000006</v>
      </c>
      <c r="G7" s="29">
        <v>69.8</v>
      </c>
      <c r="H7" s="134">
        <v>43.817075051482796</v>
      </c>
      <c r="I7" s="25">
        <v>45.268572361676846</v>
      </c>
      <c r="J7" s="25">
        <f t="shared" ref="J7" si="7">F7/2.20462</f>
        <v>33.066923097858137</v>
      </c>
      <c r="K7" s="135">
        <f t="shared" ref="K7" si="8">G7/2.20462</f>
        <v>31.660785078607653</v>
      </c>
      <c r="M7" s="4" t="s">
        <v>24</v>
      </c>
      <c r="N7">
        <f t="shared" si="3"/>
        <v>54</v>
      </c>
      <c r="O7" s="25">
        <v>43.817075051482796</v>
      </c>
      <c r="P7" s="25">
        <v>45.268572361676846</v>
      </c>
      <c r="Q7" s="25">
        <v>33.066923097858137</v>
      </c>
      <c r="R7" s="25">
        <v>31.660785078607653</v>
      </c>
      <c r="S7" s="25">
        <f t="shared" si="4"/>
        <v>1.4514973101940498</v>
      </c>
    </row>
    <row r="8" spans="1:19" x14ac:dyDescent="0.25">
      <c r="A8" s="4" t="s">
        <v>25</v>
      </c>
      <c r="B8" s="4">
        <v>52</v>
      </c>
      <c r="C8" s="4" t="s">
        <v>6</v>
      </c>
      <c r="D8" s="29">
        <v>92.5</v>
      </c>
      <c r="E8" s="29">
        <v>97.5</v>
      </c>
      <c r="F8" s="29">
        <v>70.400000000000006</v>
      </c>
      <c r="G8" s="29">
        <v>67.7</v>
      </c>
      <c r="H8" s="134">
        <v>41.957344122796677</v>
      </c>
      <c r="I8" s="25">
        <v>44.225308669974872</v>
      </c>
      <c r="J8" s="25">
        <f t="shared" ref="J8" si="9">F8/2.20462</f>
        <v>31.932940824269039</v>
      </c>
      <c r="K8" s="135">
        <f t="shared" ref="K8" si="10">G8/2.20462</f>
        <v>30.70823996879281</v>
      </c>
      <c r="M8" s="4" t="s">
        <v>25</v>
      </c>
      <c r="N8">
        <f t="shared" si="3"/>
        <v>52</v>
      </c>
      <c r="O8" s="25">
        <v>41.957344122796677</v>
      </c>
      <c r="P8" s="25">
        <v>44.225308669974872</v>
      </c>
      <c r="Q8" s="25">
        <v>31.932940824269039</v>
      </c>
      <c r="R8" s="25">
        <v>30.70823996879281</v>
      </c>
      <c r="S8" s="25">
        <f t="shared" si="4"/>
        <v>2.2679645471781953</v>
      </c>
    </row>
    <row r="9" spans="1:19" x14ac:dyDescent="0.25">
      <c r="A9" s="4" t="s">
        <v>31</v>
      </c>
      <c r="B9" s="4">
        <v>57</v>
      </c>
      <c r="C9" s="4" t="s">
        <v>6</v>
      </c>
      <c r="D9" s="29">
        <v>87.7</v>
      </c>
      <c r="E9" s="29">
        <v>91.8</v>
      </c>
      <c r="F9" s="30">
        <v>64.8</v>
      </c>
      <c r="G9" s="30">
        <v>69.3</v>
      </c>
      <c r="H9" s="134">
        <v>39.780098157505606</v>
      </c>
      <c r="I9" s="25">
        <v>41.639829086191725</v>
      </c>
      <c r="J9" s="25">
        <f t="shared" si="5"/>
        <v>29.392820531429454</v>
      </c>
      <c r="K9" s="135">
        <f t="shared" si="6"/>
        <v>31.433988623889832</v>
      </c>
      <c r="M9" s="4" t="s">
        <v>31</v>
      </c>
      <c r="N9">
        <f t="shared" si="3"/>
        <v>57</v>
      </c>
      <c r="O9" s="25">
        <v>39.780098157505606</v>
      </c>
      <c r="P9" s="25">
        <v>41.639829086191725</v>
      </c>
      <c r="Q9" s="25">
        <v>29.392820531429454</v>
      </c>
      <c r="R9" s="25">
        <v>31.433988623889832</v>
      </c>
      <c r="S9" s="25">
        <f t="shared" si="4"/>
        <v>1.859730928686119</v>
      </c>
    </row>
    <row r="10" spans="1:19" x14ac:dyDescent="0.25">
      <c r="A10" s="4" t="s">
        <v>32</v>
      </c>
      <c r="B10" s="4">
        <v>61</v>
      </c>
      <c r="C10" s="4" t="s">
        <v>6</v>
      </c>
      <c r="D10" s="29">
        <v>99.9</v>
      </c>
      <c r="E10" s="29">
        <v>99.7</v>
      </c>
      <c r="F10" s="30">
        <v>36.5</v>
      </c>
      <c r="G10" s="30">
        <v>37.9</v>
      </c>
      <c r="H10" s="134">
        <v>45.313931652620411</v>
      </c>
      <c r="I10" s="25">
        <v>45.223213070733287</v>
      </c>
      <c r="J10" s="25">
        <f t="shared" si="5"/>
        <v>16.556141194400851</v>
      </c>
      <c r="K10" s="135">
        <f t="shared" si="6"/>
        <v>17.191171267610745</v>
      </c>
      <c r="M10" s="4" t="s">
        <v>32</v>
      </c>
      <c r="N10">
        <f t="shared" si="3"/>
        <v>61</v>
      </c>
      <c r="O10" s="25">
        <v>45.313931652620411</v>
      </c>
      <c r="P10" s="25">
        <v>45.223213070733287</v>
      </c>
      <c r="Q10" s="25">
        <v>16.556141194400851</v>
      </c>
      <c r="R10" s="25">
        <v>17.191171267610745</v>
      </c>
      <c r="S10" s="25">
        <f t="shared" si="4"/>
        <v>-9.0718581887124117E-2</v>
      </c>
    </row>
    <row r="11" spans="1:19" x14ac:dyDescent="0.25">
      <c r="A11" s="4" t="s">
        <v>7</v>
      </c>
      <c r="B11" s="4">
        <v>42</v>
      </c>
      <c r="C11" s="4" t="s">
        <v>4</v>
      </c>
      <c r="D11" s="29">
        <v>124.2</v>
      </c>
      <c r="E11" s="29">
        <v>125.3</v>
      </c>
      <c r="F11" s="30">
        <v>47.1</v>
      </c>
      <c r="G11" s="30">
        <v>47.3</v>
      </c>
      <c r="H11" s="134">
        <v>56.336239351906457</v>
      </c>
      <c r="I11" s="25">
        <v>56.835191552285657</v>
      </c>
      <c r="J11" s="25">
        <f t="shared" si="5"/>
        <v>21.364226034418632</v>
      </c>
      <c r="K11" s="135">
        <f t="shared" si="6"/>
        <v>21.45494461630576</v>
      </c>
      <c r="M11" s="4" t="s">
        <v>7</v>
      </c>
      <c r="N11">
        <f t="shared" si="3"/>
        <v>42</v>
      </c>
      <c r="O11" s="25">
        <v>56.336239351906457</v>
      </c>
      <c r="P11" s="25">
        <v>56.835191552285657</v>
      </c>
      <c r="Q11" s="25">
        <v>21.364226034418632</v>
      </c>
      <c r="R11" s="25">
        <v>21.45494461630576</v>
      </c>
      <c r="S11" s="25">
        <f t="shared" si="4"/>
        <v>0.49895220037920041</v>
      </c>
    </row>
    <row r="12" spans="1:19" x14ac:dyDescent="0.25">
      <c r="A12" s="4" t="s">
        <v>8</v>
      </c>
      <c r="B12" s="4">
        <v>55</v>
      </c>
      <c r="C12" s="4" t="s">
        <v>4</v>
      </c>
      <c r="D12" s="29">
        <v>133.6</v>
      </c>
      <c r="E12" s="29">
        <v>135.6</v>
      </c>
      <c r="F12" s="30">
        <v>87.9</v>
      </c>
      <c r="G12" s="30">
        <v>78.599999999999994</v>
      </c>
      <c r="H12" s="134">
        <v>60.600012700601468</v>
      </c>
      <c r="I12" s="25">
        <v>61.507198519472745</v>
      </c>
      <c r="J12" s="25">
        <f t="shared" si="5"/>
        <v>39.870816739392737</v>
      </c>
      <c r="K12" s="135">
        <f t="shared" si="6"/>
        <v>35.652402681641284</v>
      </c>
      <c r="M12" s="4" t="s">
        <v>8</v>
      </c>
      <c r="N12">
        <f t="shared" si="3"/>
        <v>55</v>
      </c>
      <c r="O12" s="25">
        <v>60.600012700601468</v>
      </c>
      <c r="P12" s="25">
        <v>61.507198519472745</v>
      </c>
      <c r="Q12" s="25">
        <v>39.870816739392737</v>
      </c>
      <c r="R12" s="25">
        <v>35.652402681641284</v>
      </c>
      <c r="S12" s="25">
        <f t="shared" si="4"/>
        <v>0.90718581887127669</v>
      </c>
    </row>
    <row r="13" spans="1:19" x14ac:dyDescent="0.25">
      <c r="A13" s="4" t="s">
        <v>13</v>
      </c>
      <c r="B13" s="4">
        <v>44</v>
      </c>
      <c r="C13" s="4" t="s">
        <v>4</v>
      </c>
      <c r="D13" s="29" t="s">
        <v>329</v>
      </c>
      <c r="E13" s="29"/>
      <c r="F13" s="30"/>
      <c r="G13" s="30"/>
      <c r="H13" s="138"/>
      <c r="I13" s="30"/>
      <c r="J13" s="30"/>
      <c r="K13" s="139"/>
      <c r="M13" s="4" t="s">
        <v>13</v>
      </c>
      <c r="N13">
        <f t="shared" si="3"/>
        <v>44</v>
      </c>
      <c r="O13" s="25"/>
      <c r="P13" s="25"/>
      <c r="Q13" s="25"/>
      <c r="R13" s="25"/>
      <c r="S13" s="25"/>
    </row>
    <row r="14" spans="1:19" x14ac:dyDescent="0.25">
      <c r="A14" s="4" t="s">
        <v>16</v>
      </c>
      <c r="B14" s="4">
        <v>64</v>
      </c>
      <c r="C14" s="4" t="s">
        <v>4</v>
      </c>
      <c r="D14" s="29">
        <v>120.1</v>
      </c>
      <c r="E14" s="29">
        <v>120.8</v>
      </c>
      <c r="F14" s="30">
        <v>55.4</v>
      </c>
      <c r="G14" s="30">
        <v>58.5</v>
      </c>
      <c r="H14" s="134">
        <v>54.476508423220331</v>
      </c>
      <c r="I14" s="25">
        <v>54.794023459825283</v>
      </c>
      <c r="J14" s="25">
        <f t="shared" si="5"/>
        <v>25.129047182734443</v>
      </c>
      <c r="K14" s="135">
        <f t="shared" si="6"/>
        <v>26.535185201984923</v>
      </c>
      <c r="M14" s="4" t="s">
        <v>16</v>
      </c>
      <c r="N14">
        <f t="shared" si="3"/>
        <v>64</v>
      </c>
      <c r="O14" s="25">
        <v>54.476508423220331</v>
      </c>
      <c r="P14" s="25">
        <v>54.794023459825283</v>
      </c>
      <c r="Q14" s="25">
        <v>25.129047182734443</v>
      </c>
      <c r="R14" s="25">
        <v>26.535185201984923</v>
      </c>
      <c r="S14" s="25">
        <f t="shared" si="4"/>
        <v>0.31751503660495217</v>
      </c>
    </row>
    <row r="15" spans="1:19" x14ac:dyDescent="0.25">
      <c r="A15" s="4" t="s">
        <v>17</v>
      </c>
      <c r="B15" s="4">
        <v>69</v>
      </c>
      <c r="C15" s="4" t="s">
        <v>4</v>
      </c>
      <c r="D15" s="29">
        <v>135.4</v>
      </c>
      <c r="E15" s="29">
        <v>137.19999999999999</v>
      </c>
      <c r="F15" s="30">
        <v>87.6</v>
      </c>
      <c r="G15" s="30">
        <v>89.5</v>
      </c>
      <c r="H15" s="134">
        <v>61.416479937585621</v>
      </c>
      <c r="I15" s="25">
        <v>62.232947174569766</v>
      </c>
      <c r="J15" s="25">
        <f t="shared" si="5"/>
        <v>39.73473886656204</v>
      </c>
      <c r="K15" s="135">
        <f t="shared" si="6"/>
        <v>40.596565394489758</v>
      </c>
      <c r="M15" s="4" t="s">
        <v>17</v>
      </c>
      <c r="N15">
        <f t="shared" si="3"/>
        <v>69</v>
      </c>
      <c r="O15" s="25">
        <v>61.416479937585621</v>
      </c>
      <c r="P15" s="25">
        <v>62.232947174569766</v>
      </c>
      <c r="Q15" s="25">
        <v>39.73473886656204</v>
      </c>
      <c r="R15" s="25">
        <v>40.596565394489758</v>
      </c>
      <c r="S15" s="25">
        <f t="shared" si="4"/>
        <v>0.81646723698414547</v>
      </c>
    </row>
    <row r="16" spans="1:19" x14ac:dyDescent="0.25">
      <c r="A16" s="4" t="s">
        <v>30</v>
      </c>
      <c r="B16" s="4">
        <v>50</v>
      </c>
      <c r="C16" s="4" t="s">
        <v>4</v>
      </c>
      <c r="D16" s="29">
        <v>116.7</v>
      </c>
      <c r="E16" s="29">
        <v>118.7</v>
      </c>
      <c r="F16" s="32">
        <v>73</v>
      </c>
      <c r="G16" s="30">
        <v>73.2</v>
      </c>
      <c r="H16" s="134">
        <v>52.934292531139157</v>
      </c>
      <c r="I16" s="25">
        <v>53.841478350010441</v>
      </c>
      <c r="J16" s="25">
        <f t="shared" si="5"/>
        <v>33.112282388801702</v>
      </c>
      <c r="K16" s="135">
        <f t="shared" si="6"/>
        <v>33.203000970688834</v>
      </c>
      <c r="M16" s="4" t="s">
        <v>30</v>
      </c>
      <c r="N16">
        <f t="shared" si="3"/>
        <v>50</v>
      </c>
      <c r="O16" s="25">
        <v>52.934292531139157</v>
      </c>
      <c r="P16" s="25">
        <v>53.841478350010441</v>
      </c>
      <c r="Q16" s="25">
        <v>33.112282388801702</v>
      </c>
      <c r="R16" s="25">
        <v>33.203000970688834</v>
      </c>
      <c r="S16" s="25">
        <f t="shared" si="4"/>
        <v>0.9071858188712838</v>
      </c>
    </row>
    <row r="17" spans="1:19" x14ac:dyDescent="0.25">
      <c r="A17" s="4" t="s">
        <v>149</v>
      </c>
      <c r="B17" s="4">
        <v>63</v>
      </c>
      <c r="C17" s="4" t="s">
        <v>4</v>
      </c>
      <c r="D17" s="29">
        <v>137.9</v>
      </c>
      <c r="E17" s="29">
        <v>143.19999999999999</v>
      </c>
      <c r="F17" s="30">
        <v>44.4</v>
      </c>
      <c r="G17" s="30">
        <v>42.8</v>
      </c>
      <c r="H17" s="134">
        <v>62.550462211174725</v>
      </c>
      <c r="I17" s="25">
        <v>64.95450463118361</v>
      </c>
      <c r="J17" s="25">
        <f t="shared" si="5"/>
        <v>20.139525178942403</v>
      </c>
      <c r="K17" s="135">
        <f t="shared" si="6"/>
        <v>19.413776523845378</v>
      </c>
      <c r="M17" s="4" t="s">
        <v>149</v>
      </c>
      <c r="N17">
        <f t="shared" si="3"/>
        <v>63</v>
      </c>
      <c r="O17" s="25">
        <v>62.550462211174725</v>
      </c>
      <c r="P17" s="25">
        <v>64.95450463118361</v>
      </c>
      <c r="Q17" s="25">
        <v>20.139525178942403</v>
      </c>
      <c r="R17" s="25">
        <v>19.413776523845378</v>
      </c>
      <c r="S17" s="25">
        <f t="shared" si="4"/>
        <v>2.404042420008885</v>
      </c>
    </row>
    <row r="18" spans="1:19" x14ac:dyDescent="0.25">
      <c r="A18" s="3" t="s">
        <v>33</v>
      </c>
      <c r="B18" s="8">
        <f>AVERAGE(B3:B17)</f>
        <v>55</v>
      </c>
      <c r="C18" s="8"/>
      <c r="D18" s="33">
        <f t="shared" ref="D18:G18" si="11">AVERAGE(D3:D17)</f>
        <v>110.89230769230772</v>
      </c>
      <c r="E18" s="33">
        <f t="shared" si="11"/>
        <v>112.93076923076924</v>
      </c>
      <c r="F18" s="33">
        <f t="shared" si="11"/>
        <v>66.484615384615381</v>
      </c>
      <c r="G18" s="33">
        <f t="shared" si="11"/>
        <v>66.407692307692301</v>
      </c>
      <c r="H18" s="119">
        <f t="shared" ref="H18:K18" si="12">AVERAGE(H3:H17)</f>
        <v>50.299964480186013</v>
      </c>
      <c r="I18" s="8">
        <f t="shared" si="12"/>
        <v>51.224596180189437</v>
      </c>
      <c r="J18" s="8">
        <f t="shared" si="12"/>
        <v>30.156950125017186</v>
      </c>
      <c r="K18" s="120">
        <f t="shared" si="12"/>
        <v>30.122058362752906</v>
      </c>
      <c r="M18" s="4" t="s">
        <v>5</v>
      </c>
      <c r="N18">
        <f>B24</f>
        <v>51</v>
      </c>
      <c r="O18" s="25">
        <v>33.928749625785855</v>
      </c>
      <c r="P18" s="25">
        <v>35.470965517867029</v>
      </c>
      <c r="Q18" s="25">
        <v>25.35584363745226</v>
      </c>
      <c r="R18" s="25">
        <v>25.038328600847315</v>
      </c>
      <c r="S18" s="25">
        <f t="shared" si="4"/>
        <v>1.5422158920811739</v>
      </c>
    </row>
    <row r="19" spans="1:19" x14ac:dyDescent="0.25">
      <c r="A19" s="3" t="s">
        <v>34</v>
      </c>
      <c r="B19" s="8">
        <f>STDEV(B3:B17)</f>
        <v>8.2635170651311842</v>
      </c>
      <c r="C19" s="8"/>
      <c r="D19" s="33">
        <f t="shared" ref="D19:G19" si="13">STDEV(D3:D17)</f>
        <v>18.372872282183614</v>
      </c>
      <c r="E19" s="33">
        <f t="shared" si="13"/>
        <v>18.525495252731321</v>
      </c>
      <c r="F19" s="33">
        <f t="shared" si="13"/>
        <v>17.486368317151477</v>
      </c>
      <c r="G19" s="33">
        <f t="shared" si="13"/>
        <v>16.867891665254717</v>
      </c>
      <c r="H19" s="119">
        <f t="shared" ref="H19:K19" si="14">STDEV(H3:H17)</f>
        <v>8.3338045931651781</v>
      </c>
      <c r="I19" s="8">
        <f t="shared" si="14"/>
        <v>8.4030332904225915</v>
      </c>
      <c r="J19" s="8">
        <f t="shared" si="14"/>
        <v>7.9316926804399177</v>
      </c>
      <c r="K19" s="120">
        <f t="shared" si="14"/>
        <v>7.6511560564880812</v>
      </c>
      <c r="M19" s="4" t="s">
        <v>14</v>
      </c>
      <c r="N19">
        <f t="shared" ref="N19:N32" si="15">B25</f>
        <v>55</v>
      </c>
      <c r="O19" s="25">
        <v>38.646115883916508</v>
      </c>
      <c r="P19" s="25">
        <v>40.324409648828379</v>
      </c>
      <c r="Q19" s="25">
        <v>17.145811976667179</v>
      </c>
      <c r="R19" s="25">
        <v>18.778746450635484</v>
      </c>
      <c r="S19" s="25">
        <f t="shared" si="4"/>
        <v>1.6782937649118708</v>
      </c>
    </row>
    <row r="20" spans="1:19" x14ac:dyDescent="0.25">
      <c r="A20" s="3" t="s">
        <v>160</v>
      </c>
      <c r="D20" s="27"/>
      <c r="E20" s="34"/>
      <c r="F20" s="27"/>
      <c r="G20" s="34"/>
      <c r="H20" s="140"/>
      <c r="I20" s="23">
        <f>TTEST(H2:H16,I2:I16,2,1)</f>
        <v>4.3615257291758679E-3</v>
      </c>
      <c r="K20" s="141">
        <f>TTEST(J2:J16,K2:K16,2,1)</f>
        <v>0.96287087554307416</v>
      </c>
      <c r="M20" s="4" t="s">
        <v>19</v>
      </c>
      <c r="N20">
        <f t="shared" si="15"/>
        <v>53</v>
      </c>
      <c r="O20" s="25">
        <v>50.303453656412451</v>
      </c>
      <c r="P20" s="25">
        <v>49.713782874146112</v>
      </c>
      <c r="Q20" s="25">
        <v>43.000607814498643</v>
      </c>
      <c r="R20" s="25">
        <v>46.266476762435254</v>
      </c>
      <c r="S20" s="25">
        <f t="shared" si="4"/>
        <v>-0.58967078226633873</v>
      </c>
    </row>
    <row r="21" spans="1:19" x14ac:dyDescent="0.25">
      <c r="B21" s="4"/>
      <c r="C21" s="4"/>
      <c r="D21" s="27"/>
      <c r="E21" s="27"/>
      <c r="F21" s="27"/>
      <c r="G21" s="27"/>
      <c r="H21" s="140"/>
      <c r="K21" s="142"/>
      <c r="M21" s="4" t="s">
        <v>22</v>
      </c>
      <c r="N21">
        <f t="shared" si="15"/>
        <v>55</v>
      </c>
      <c r="O21" s="25">
        <v>48.988034219049091</v>
      </c>
      <c r="P21" s="25">
        <v>48.48908201866989</v>
      </c>
      <c r="Q21" s="25">
        <v>44.406745833749135</v>
      </c>
      <c r="R21" s="25">
        <v>47.219021872250096</v>
      </c>
      <c r="S21" s="25">
        <f t="shared" si="4"/>
        <v>-0.49895220037920041</v>
      </c>
    </row>
    <row r="22" spans="1:19" x14ac:dyDescent="0.25">
      <c r="A22" s="4" t="s">
        <v>44</v>
      </c>
      <c r="D22" s="27"/>
      <c r="E22" s="27"/>
      <c r="F22" s="27"/>
      <c r="G22" s="27"/>
      <c r="H22" s="140"/>
      <c r="K22" s="142"/>
      <c r="M22" s="4" t="s">
        <v>26</v>
      </c>
      <c r="N22">
        <f t="shared" si="15"/>
        <v>54</v>
      </c>
      <c r="O22" s="25">
        <v>39.281145957126398</v>
      </c>
      <c r="P22" s="25">
        <v>38.464678720142246</v>
      </c>
      <c r="Q22" s="25">
        <v>29.710335568034402</v>
      </c>
      <c r="R22" s="25">
        <v>23.76826845442752</v>
      </c>
      <c r="S22" s="25">
        <f t="shared" si="4"/>
        <v>-0.81646723698415258</v>
      </c>
    </row>
    <row r="23" spans="1:19" x14ac:dyDescent="0.25">
      <c r="A23" s="3" t="s">
        <v>0</v>
      </c>
      <c r="B23" s="3" t="s">
        <v>1</v>
      </c>
      <c r="C23" s="3" t="s">
        <v>2</v>
      </c>
      <c r="D23" s="28" t="s">
        <v>157</v>
      </c>
      <c r="E23" s="28" t="s">
        <v>158</v>
      </c>
      <c r="F23" s="28" t="s">
        <v>159</v>
      </c>
      <c r="G23" s="28" t="s">
        <v>159</v>
      </c>
      <c r="H23" s="124" t="s">
        <v>157</v>
      </c>
      <c r="I23" s="3" t="s">
        <v>158</v>
      </c>
      <c r="J23" s="3" t="s">
        <v>159</v>
      </c>
      <c r="K23" s="125" t="s">
        <v>173</v>
      </c>
      <c r="M23" s="21" t="s">
        <v>42</v>
      </c>
      <c r="O23" s="24"/>
      <c r="P23" s="24"/>
      <c r="Q23" s="24"/>
      <c r="R23" s="24"/>
      <c r="S23" s="25"/>
    </row>
    <row r="24" spans="1:19" x14ac:dyDescent="0.25">
      <c r="A24" s="4" t="s">
        <v>5</v>
      </c>
      <c r="B24" s="4">
        <v>51</v>
      </c>
      <c r="C24" s="4" t="s">
        <v>6</v>
      </c>
      <c r="D24" s="29">
        <v>74.8</v>
      </c>
      <c r="E24" s="29">
        <v>78.2</v>
      </c>
      <c r="F24" s="30">
        <v>55.9</v>
      </c>
      <c r="G24" s="30">
        <v>55.2</v>
      </c>
      <c r="H24" s="134">
        <v>33.928749625785855</v>
      </c>
      <c r="I24" s="25">
        <v>35.470965517867029</v>
      </c>
      <c r="J24" s="25">
        <f t="shared" ref="J24" si="16">F24/2.20462</f>
        <v>25.35584363745226</v>
      </c>
      <c r="K24" s="135">
        <f t="shared" ref="K24" si="17">G24/2.20462</f>
        <v>25.038328600847315</v>
      </c>
      <c r="M24" s="4" t="s">
        <v>28</v>
      </c>
      <c r="N24">
        <f t="shared" si="15"/>
        <v>70</v>
      </c>
      <c r="O24" s="25">
        <v>32.567970897478929</v>
      </c>
      <c r="P24" s="25">
        <v>32.65868947936606</v>
      </c>
      <c r="Q24" s="25">
        <v>21.863178234797836</v>
      </c>
      <c r="R24" s="25">
        <v>20.865273834039428</v>
      </c>
      <c r="S24" s="25">
        <f t="shared" si="4"/>
        <v>9.0718581887131222E-2</v>
      </c>
    </row>
    <row r="25" spans="1:19" x14ac:dyDescent="0.25">
      <c r="A25" s="4" t="s">
        <v>14</v>
      </c>
      <c r="B25" s="4">
        <v>55</v>
      </c>
      <c r="C25" s="4" t="s">
        <v>6</v>
      </c>
      <c r="D25" s="29">
        <v>85.2</v>
      </c>
      <c r="E25" s="29">
        <v>88.9</v>
      </c>
      <c r="F25" s="30">
        <v>37.799999999999997</v>
      </c>
      <c r="G25" s="30">
        <v>41.4</v>
      </c>
      <c r="H25" s="134">
        <v>38.646115883916508</v>
      </c>
      <c r="I25" s="25">
        <v>40.324409648828379</v>
      </c>
      <c r="J25" s="25">
        <f t="shared" ref="J25" si="18">F25/2.20462</f>
        <v>17.145811976667179</v>
      </c>
      <c r="K25" s="135">
        <f t="shared" ref="K25" si="19">G25/2.20462</f>
        <v>18.778746450635484</v>
      </c>
      <c r="M25" s="4" t="s">
        <v>150</v>
      </c>
      <c r="N25">
        <f t="shared" si="15"/>
        <v>60</v>
      </c>
      <c r="O25" s="25"/>
      <c r="P25" s="25"/>
      <c r="Q25" s="25"/>
      <c r="R25" s="25"/>
      <c r="S25" s="25"/>
    </row>
    <row r="26" spans="1:19" x14ac:dyDescent="0.25">
      <c r="A26" s="4" t="s">
        <v>19</v>
      </c>
      <c r="B26" s="4">
        <v>53</v>
      </c>
      <c r="C26" s="4" t="s">
        <v>6</v>
      </c>
      <c r="D26" s="29">
        <v>110.9</v>
      </c>
      <c r="E26" s="29">
        <v>109.6</v>
      </c>
      <c r="F26" s="30">
        <v>94.8</v>
      </c>
      <c r="G26" s="30">
        <v>102</v>
      </c>
      <c r="H26" s="134">
        <v>50.303453656412451</v>
      </c>
      <c r="I26" s="25">
        <v>49.713782874146112</v>
      </c>
      <c r="J26" s="25">
        <f t="shared" ref="J26:J38" si="20">F26/2.20462</f>
        <v>43.000607814498643</v>
      </c>
      <c r="K26" s="135">
        <f t="shared" ref="K26:K38" si="21">G26/2.20462</f>
        <v>46.266476762435254</v>
      </c>
      <c r="M26" s="4" t="s">
        <v>3</v>
      </c>
      <c r="N26">
        <f t="shared" si="15"/>
        <v>45</v>
      </c>
      <c r="O26" s="25"/>
      <c r="P26" s="25"/>
      <c r="Q26" s="25"/>
      <c r="R26" s="25"/>
      <c r="S26" s="25"/>
    </row>
    <row r="27" spans="1:19" x14ac:dyDescent="0.25">
      <c r="A27" s="4" t="s">
        <v>22</v>
      </c>
      <c r="B27" s="4">
        <v>55</v>
      </c>
      <c r="C27" s="4" t="s">
        <v>6</v>
      </c>
      <c r="D27" s="29">
        <v>108</v>
      </c>
      <c r="E27" s="29">
        <v>106.9</v>
      </c>
      <c r="F27" s="29">
        <v>97.9</v>
      </c>
      <c r="G27" s="29">
        <v>104.1</v>
      </c>
      <c r="H27" s="134">
        <v>48.988034219049091</v>
      </c>
      <c r="I27" s="25">
        <v>48.48908201866989</v>
      </c>
      <c r="J27" s="25">
        <f t="shared" si="20"/>
        <v>44.406745833749135</v>
      </c>
      <c r="K27" s="135">
        <f t="shared" si="21"/>
        <v>47.219021872250096</v>
      </c>
      <c r="M27" s="4" t="s">
        <v>9</v>
      </c>
      <c r="N27">
        <f t="shared" si="15"/>
        <v>56</v>
      </c>
      <c r="O27" s="25">
        <v>62.958695829666802</v>
      </c>
      <c r="P27" s="25">
        <v>66.224564777603405</v>
      </c>
      <c r="Q27" s="25">
        <v>36.468869918625437</v>
      </c>
      <c r="R27" s="25">
        <v>35.788480554471981</v>
      </c>
      <c r="S27" s="25">
        <f t="shared" si="4"/>
        <v>3.2658689479366032</v>
      </c>
    </row>
    <row r="28" spans="1:19" x14ac:dyDescent="0.25">
      <c r="A28" s="4" t="s">
        <v>26</v>
      </c>
      <c r="B28" s="4">
        <v>54</v>
      </c>
      <c r="C28" s="4" t="s">
        <v>6</v>
      </c>
      <c r="D28" s="29">
        <v>86.6</v>
      </c>
      <c r="E28" s="29">
        <v>84.8</v>
      </c>
      <c r="F28" s="29">
        <v>65.5</v>
      </c>
      <c r="G28" s="29">
        <v>52.4</v>
      </c>
      <c r="H28" s="134">
        <v>39.281145957126398</v>
      </c>
      <c r="I28" s="25">
        <v>38.464678720142246</v>
      </c>
      <c r="J28" s="25">
        <f t="shared" si="20"/>
        <v>29.710335568034402</v>
      </c>
      <c r="K28" s="135">
        <f t="shared" si="21"/>
        <v>23.76826845442752</v>
      </c>
      <c r="M28" s="4" t="s">
        <v>11</v>
      </c>
      <c r="N28">
        <f t="shared" si="15"/>
        <v>53</v>
      </c>
      <c r="O28" s="25">
        <v>69.944026634975643</v>
      </c>
      <c r="P28" s="25">
        <v>71.304805363282568</v>
      </c>
      <c r="Q28" s="25">
        <v>24.630094982355235</v>
      </c>
      <c r="R28" s="25">
        <v>26.308388747267106</v>
      </c>
      <c r="S28" s="25">
        <f t="shared" si="4"/>
        <v>1.3607787283069257</v>
      </c>
    </row>
    <row r="29" spans="1:19" x14ac:dyDescent="0.25">
      <c r="A29" s="21" t="s">
        <v>42</v>
      </c>
      <c r="B29" s="21">
        <v>59</v>
      </c>
      <c r="C29" s="21" t="s">
        <v>6</v>
      </c>
      <c r="D29" s="114" t="s">
        <v>152</v>
      </c>
      <c r="E29" s="114"/>
      <c r="F29" s="114"/>
      <c r="G29" s="114"/>
      <c r="H29" s="136"/>
      <c r="I29" s="24"/>
      <c r="J29" s="24"/>
      <c r="K29" s="137"/>
      <c r="M29" s="4" t="s">
        <v>12</v>
      </c>
      <c r="N29">
        <f t="shared" si="15"/>
        <v>46</v>
      </c>
      <c r="O29" s="25">
        <v>65.5895347043935</v>
      </c>
      <c r="P29" s="25">
        <v>64.999863922127176</v>
      </c>
      <c r="Q29" s="25">
        <v>25.809436546887902</v>
      </c>
      <c r="R29" s="25">
        <v>23.76826845442752</v>
      </c>
      <c r="S29" s="25">
        <f t="shared" si="4"/>
        <v>-0.58967078226632452</v>
      </c>
    </row>
    <row r="30" spans="1:19" x14ac:dyDescent="0.25">
      <c r="A30" s="4" t="s">
        <v>28</v>
      </c>
      <c r="B30" s="4">
        <v>70</v>
      </c>
      <c r="C30" s="4" t="s">
        <v>6</v>
      </c>
      <c r="D30" s="29">
        <v>71.8</v>
      </c>
      <c r="E30" s="29">
        <v>72</v>
      </c>
      <c r="F30" s="29">
        <v>48.2</v>
      </c>
      <c r="G30" s="29">
        <v>46</v>
      </c>
      <c r="H30" s="134">
        <v>32.567970897478929</v>
      </c>
      <c r="I30" s="25">
        <v>32.65868947936606</v>
      </c>
      <c r="J30" s="25">
        <f t="shared" si="20"/>
        <v>21.863178234797836</v>
      </c>
      <c r="K30" s="135">
        <f t="shared" si="21"/>
        <v>20.865273834039428</v>
      </c>
      <c r="M30" s="4" t="s">
        <v>23</v>
      </c>
      <c r="N30">
        <f t="shared" si="15"/>
        <v>60</v>
      </c>
      <c r="O30" s="25">
        <v>44.361386542805569</v>
      </c>
      <c r="P30" s="25">
        <v>44.225308669974872</v>
      </c>
      <c r="Q30" s="25">
        <v>20.729195961208738</v>
      </c>
      <c r="R30" s="25">
        <v>21.409585325362197</v>
      </c>
      <c r="S30" s="25">
        <f t="shared" si="4"/>
        <v>-0.13607787283069683</v>
      </c>
    </row>
    <row r="31" spans="1:19" x14ac:dyDescent="0.25">
      <c r="A31" s="4" t="s">
        <v>150</v>
      </c>
      <c r="B31" s="4">
        <v>60</v>
      </c>
      <c r="C31" s="4" t="s">
        <v>6</v>
      </c>
      <c r="D31" s="130">
        <v>80.436007989999993</v>
      </c>
      <c r="E31" s="130">
        <v>82.861790670000005</v>
      </c>
      <c r="F31" s="130">
        <v>57.223208540000002</v>
      </c>
      <c r="G31" s="130">
        <v>59.715854450000002</v>
      </c>
      <c r="H31" s="134">
        <v>36.485202887572463</v>
      </c>
      <c r="I31" s="25">
        <v>37.585520711052247</v>
      </c>
      <c r="J31" s="25">
        <f t="shared" ref="J31" si="22">F31/2.20462</f>
        <v>25.956041648900946</v>
      </c>
      <c r="K31" s="135">
        <f t="shared" ref="K31" si="23">G31/2.20462</f>
        <v>27.086688159410695</v>
      </c>
      <c r="M31" s="4" t="s">
        <v>27</v>
      </c>
      <c r="N31">
        <f t="shared" si="15"/>
        <v>63</v>
      </c>
      <c r="O31" s="25">
        <v>58.195970280592583</v>
      </c>
      <c r="P31" s="25">
        <v>59.73818617267375</v>
      </c>
      <c r="Q31" s="25">
        <v>31.343270042002704</v>
      </c>
      <c r="R31" s="25">
        <v>29.302101949542326</v>
      </c>
      <c r="S31" s="25">
        <f t="shared" si="4"/>
        <v>1.5422158920811668</v>
      </c>
    </row>
    <row r="32" spans="1:19" x14ac:dyDescent="0.25">
      <c r="A32" s="4" t="s">
        <v>3</v>
      </c>
      <c r="B32" s="4">
        <v>45</v>
      </c>
      <c r="C32" s="4" t="s">
        <v>4</v>
      </c>
      <c r="D32" s="29" t="s">
        <v>329</v>
      </c>
      <c r="E32" s="29"/>
      <c r="F32" s="30"/>
      <c r="G32" s="30"/>
      <c r="H32" s="134"/>
      <c r="I32" s="25"/>
      <c r="J32" s="25"/>
      <c r="K32" s="135"/>
      <c r="M32" s="4" t="s">
        <v>29</v>
      </c>
      <c r="N32">
        <f t="shared" si="15"/>
        <v>60</v>
      </c>
      <c r="O32" s="25">
        <v>48.443722727726325</v>
      </c>
      <c r="P32" s="25">
        <v>48.307644854895635</v>
      </c>
      <c r="Q32" s="25">
        <v>28.576353294445305</v>
      </c>
      <c r="R32" s="25">
        <v>28.621712585388867</v>
      </c>
      <c r="S32" s="25">
        <f t="shared" si="4"/>
        <v>-0.13607787283068973</v>
      </c>
    </row>
    <row r="33" spans="1:18" x14ac:dyDescent="0.25">
      <c r="A33" s="4" t="s">
        <v>9</v>
      </c>
      <c r="B33" s="4">
        <v>56</v>
      </c>
      <c r="C33" s="4" t="s">
        <v>4</v>
      </c>
      <c r="D33" s="29">
        <v>138.80000000000001</v>
      </c>
      <c r="E33" s="29">
        <v>146</v>
      </c>
      <c r="F33" s="29">
        <v>80.400000000000006</v>
      </c>
      <c r="G33" s="29">
        <v>78.900000000000006</v>
      </c>
      <c r="H33" s="134">
        <v>62.958695829666802</v>
      </c>
      <c r="I33" s="25">
        <v>66.224564777603405</v>
      </c>
      <c r="J33" s="25">
        <f t="shared" ref="J33" si="24">F33/2.20462</f>
        <v>36.468869918625437</v>
      </c>
      <c r="K33" s="135">
        <f t="shared" ref="K33" si="25">G33/2.20462</f>
        <v>35.788480554471981</v>
      </c>
      <c r="M33" s="3" t="s">
        <v>33</v>
      </c>
      <c r="N33" s="6">
        <f>AVERAGE(N3:N32)</f>
        <v>55.785714285714285</v>
      </c>
      <c r="O33" s="8">
        <f>AVERAGE(O3:O32)</f>
        <v>49.884333808093913</v>
      </c>
      <c r="P33" s="8">
        <f t="shared" ref="P33:R33" si="26">AVERAGE(P3:P32)</f>
        <v>50.633669294481585</v>
      </c>
      <c r="Q33" s="8">
        <f t="shared" si="26"/>
        <v>29.643203817437925</v>
      </c>
      <c r="R33" s="8">
        <f t="shared" si="26"/>
        <v>29.548856492275313</v>
      </c>
    </row>
    <row r="34" spans="1:18" x14ac:dyDescent="0.25">
      <c r="A34" s="4" t="s">
        <v>11</v>
      </c>
      <c r="B34" s="4">
        <v>53</v>
      </c>
      <c r="C34" s="4" t="s">
        <v>4</v>
      </c>
      <c r="D34" s="29">
        <v>154.19999999999999</v>
      </c>
      <c r="E34" s="29">
        <v>157.19999999999999</v>
      </c>
      <c r="F34" s="30">
        <v>54.3</v>
      </c>
      <c r="G34" s="30">
        <v>58</v>
      </c>
      <c r="H34" s="134">
        <v>69.944026634975643</v>
      </c>
      <c r="I34" s="25">
        <v>71.304805363282568</v>
      </c>
      <c r="J34" s="25">
        <f t="shared" si="20"/>
        <v>24.630094982355235</v>
      </c>
      <c r="K34" s="135">
        <f t="shared" si="21"/>
        <v>26.308388747267106</v>
      </c>
      <c r="M34" s="3" t="s">
        <v>34</v>
      </c>
      <c r="N34" s="6">
        <f>STDEV(N3:N32)</f>
        <v>7.1717405442376805</v>
      </c>
      <c r="O34" s="8">
        <f>STDEV(O3:O32)</f>
        <v>10.310713935548366</v>
      </c>
      <c r="P34" s="8">
        <f t="shared" ref="P34:R34" si="27">STDEV(P3:P32)</f>
        <v>10.549127901885393</v>
      </c>
      <c r="Q34" s="8">
        <f t="shared" si="27"/>
        <v>8.0616396279050022</v>
      </c>
      <c r="R34" s="8">
        <f t="shared" si="27"/>
        <v>8.4005059855945792</v>
      </c>
    </row>
    <row r="35" spans="1:18" x14ac:dyDescent="0.25">
      <c r="A35" s="4" t="s">
        <v>12</v>
      </c>
      <c r="B35" s="4">
        <v>46</v>
      </c>
      <c r="C35" s="4" t="s">
        <v>4</v>
      </c>
      <c r="D35" s="29">
        <v>144.6</v>
      </c>
      <c r="E35" s="29">
        <v>143.30000000000001</v>
      </c>
      <c r="F35" s="30">
        <v>56.9</v>
      </c>
      <c r="G35" s="30">
        <v>52.4</v>
      </c>
      <c r="H35" s="134">
        <v>65.5895347043935</v>
      </c>
      <c r="I35" s="25">
        <v>64.999863922127176</v>
      </c>
      <c r="J35" s="25">
        <f t="shared" si="20"/>
        <v>25.809436546887902</v>
      </c>
      <c r="K35" s="135">
        <f t="shared" si="21"/>
        <v>23.76826845442752</v>
      </c>
      <c r="M35" s="3" t="s">
        <v>39</v>
      </c>
      <c r="P35" s="23">
        <f>TTEST(O3:O31,P3:P31,2,1)</f>
        <v>1.6895284017315374E-3</v>
      </c>
      <c r="R35" s="23">
        <f>TTEST(Q3:Q31,R3:R31,2,1)</f>
        <v>0.81598198866340788</v>
      </c>
    </row>
    <row r="36" spans="1:18" x14ac:dyDescent="0.25">
      <c r="A36" s="4" t="s">
        <v>23</v>
      </c>
      <c r="B36" s="4">
        <v>60</v>
      </c>
      <c r="C36" s="4" t="s">
        <v>4</v>
      </c>
      <c r="D36" s="29">
        <v>97.8</v>
      </c>
      <c r="E36" s="29">
        <v>97.5</v>
      </c>
      <c r="F36" s="29">
        <v>45.7</v>
      </c>
      <c r="G36" s="29">
        <v>47.2</v>
      </c>
      <c r="H36" s="134">
        <v>44.361386542805569</v>
      </c>
      <c r="I36" s="25">
        <v>44.225308669974872</v>
      </c>
      <c r="J36" s="25">
        <f t="shared" si="20"/>
        <v>20.729195961208738</v>
      </c>
      <c r="K36" s="135">
        <f t="shared" si="21"/>
        <v>21.409585325362197</v>
      </c>
      <c r="M36" s="3" t="s">
        <v>338</v>
      </c>
      <c r="P36" s="91">
        <f>(P33-O33)*100/O33</f>
        <v>1.5021459227467711</v>
      </c>
    </row>
    <row r="37" spans="1:18" x14ac:dyDescent="0.25">
      <c r="A37" s="4" t="s">
        <v>27</v>
      </c>
      <c r="B37" s="4">
        <v>63</v>
      </c>
      <c r="C37" s="4" t="s">
        <v>4</v>
      </c>
      <c r="D37" s="29">
        <v>128.30000000000001</v>
      </c>
      <c r="E37" s="29">
        <v>131.69999999999999</v>
      </c>
      <c r="F37" s="30">
        <v>69.099999999999994</v>
      </c>
      <c r="G37" s="30">
        <v>64.599999999999994</v>
      </c>
      <c r="H37" s="134">
        <v>58.195970280592583</v>
      </c>
      <c r="I37" s="25">
        <v>59.73818617267375</v>
      </c>
      <c r="J37" s="25">
        <f t="shared" si="20"/>
        <v>31.343270042002704</v>
      </c>
      <c r="K37" s="135">
        <f t="shared" si="21"/>
        <v>29.302101949542326</v>
      </c>
    </row>
    <row r="38" spans="1:18" x14ac:dyDescent="0.25">
      <c r="A38" s="4" t="s">
        <v>29</v>
      </c>
      <c r="B38" s="4">
        <v>60</v>
      </c>
      <c r="C38" s="4" t="s">
        <v>4</v>
      </c>
      <c r="D38" s="29">
        <v>106.8</v>
      </c>
      <c r="E38" s="29">
        <v>106.5</v>
      </c>
      <c r="F38" s="29">
        <v>63</v>
      </c>
      <c r="G38" s="29">
        <v>63.1</v>
      </c>
      <c r="H38" s="134">
        <v>48.443722727726325</v>
      </c>
      <c r="I38" s="25">
        <v>48.307644854895635</v>
      </c>
      <c r="J38" s="25">
        <f t="shared" si="20"/>
        <v>28.576353294445305</v>
      </c>
      <c r="K38" s="135">
        <f t="shared" si="21"/>
        <v>28.621712585388867</v>
      </c>
    </row>
    <row r="39" spans="1:18" x14ac:dyDescent="0.25">
      <c r="A39" s="3" t="s">
        <v>33</v>
      </c>
      <c r="B39" s="8">
        <f>AVERAGE(B24:B38)</f>
        <v>56</v>
      </c>
      <c r="C39" s="8"/>
      <c r="D39" s="33">
        <f t="shared" ref="D39:G39" si="28">AVERAGE(D24:D38)</f>
        <v>106.78738522999998</v>
      </c>
      <c r="E39" s="33">
        <f t="shared" si="28"/>
        <v>108.11244543615385</v>
      </c>
      <c r="F39" s="33">
        <f t="shared" si="28"/>
        <v>63.594092964615385</v>
      </c>
      <c r="G39" s="33">
        <f t="shared" si="28"/>
        <v>63.462758034615383</v>
      </c>
      <c r="H39" s="119">
        <f t="shared" ref="H39:K39" si="29">AVERAGE(H24:H38)</f>
        <v>48.43800075750017</v>
      </c>
      <c r="I39" s="8">
        <f t="shared" si="29"/>
        <v>49.03903867158688</v>
      </c>
      <c r="J39" s="8">
        <f t="shared" si="29"/>
        <v>28.845829650740441</v>
      </c>
      <c r="K39" s="120">
        <f t="shared" si="29"/>
        <v>28.786257057731216</v>
      </c>
    </row>
    <row r="40" spans="1:18" x14ac:dyDescent="0.25">
      <c r="A40" s="3" t="s">
        <v>34</v>
      </c>
      <c r="B40" s="8">
        <f>STDEV(B24:B38)</f>
        <v>6.3919592346277412</v>
      </c>
      <c r="C40" s="8"/>
      <c r="D40" s="33">
        <f t="shared" ref="D40:G40" si="30">STDEV(D24:D38)</f>
        <v>27.507208155290687</v>
      </c>
      <c r="E40" s="33">
        <f t="shared" si="30"/>
        <v>28.14774294774719</v>
      </c>
      <c r="F40" s="33">
        <f t="shared" si="30"/>
        <v>18.076073079521581</v>
      </c>
      <c r="G40" s="33">
        <f t="shared" si="30"/>
        <v>19.977803781137872</v>
      </c>
      <c r="H40" s="119">
        <f t="shared" ref="H40:K40" si="31">STDEV(H24:H38)</f>
        <v>12.477074577609999</v>
      </c>
      <c r="I40" s="8">
        <f t="shared" si="31"/>
        <v>12.767616617715152</v>
      </c>
      <c r="J40" s="8">
        <f t="shared" si="31"/>
        <v>8.1991785793114236</v>
      </c>
      <c r="K40" s="120">
        <f t="shared" si="31"/>
        <v>9.0617901412206461</v>
      </c>
    </row>
    <row r="41" spans="1:18" x14ac:dyDescent="0.25">
      <c r="A41" s="3" t="s">
        <v>39</v>
      </c>
      <c r="B41" s="7">
        <f>TTEST(B3:B17,B24:B38,2,2)</f>
        <v>0.71363485428568296</v>
      </c>
      <c r="C41" s="7"/>
      <c r="D41" s="35">
        <f>TTEST(D3:D17,D24:D38,2,2)</f>
        <v>0.65857587401240503</v>
      </c>
      <c r="E41" s="35">
        <f>TTEST(E3:E17,E24:E38,2,2)</f>
        <v>0.61088115148391919</v>
      </c>
      <c r="F41" s="35">
        <f>TTEST(F3:F17,F24:F38,2,2)</f>
        <v>0.68226722592198241</v>
      </c>
      <c r="G41" s="35">
        <f>TTEST(G3:G17,G24:G38,2,2)</f>
        <v>0.68826660800736406</v>
      </c>
      <c r="H41" s="126">
        <f t="shared" ref="H41:K41" si="32">TTEST(H3:H17,H24:H38,2,2)</f>
        <v>0.65857587401241124</v>
      </c>
      <c r="I41" s="7">
        <f t="shared" si="32"/>
        <v>0.61088115148392108</v>
      </c>
      <c r="J41" s="7">
        <f t="shared" si="32"/>
        <v>0.68226722592198241</v>
      </c>
      <c r="K41" s="127">
        <f t="shared" si="32"/>
        <v>0.68826660800736406</v>
      </c>
    </row>
    <row r="42" spans="1:18" ht="15.75" thickBot="1" x14ac:dyDescent="0.3">
      <c r="A42" s="3" t="s">
        <v>160</v>
      </c>
      <c r="E42" s="26"/>
      <c r="G42" s="26"/>
      <c r="H42" s="143"/>
      <c r="I42" s="144">
        <f>TTEST(H24:H38,I24:I38,2,1)</f>
        <v>0.10443528339092484</v>
      </c>
      <c r="J42" s="145"/>
      <c r="K42" s="146">
        <f>TTEST(J24:J38,K24:K38,2,1)</f>
        <v>0.9310702468028198</v>
      </c>
    </row>
    <row r="49" spans="11:15" x14ac:dyDescent="0.25">
      <c r="K49" s="199"/>
      <c r="N49" s="91"/>
      <c r="O49" s="91"/>
    </row>
    <row r="50" spans="11:15" x14ac:dyDescent="0.25">
      <c r="K50" s="199"/>
      <c r="N50" s="91"/>
      <c r="O50" s="91"/>
    </row>
    <row r="51" spans="11:15" x14ac:dyDescent="0.25">
      <c r="K51" s="199"/>
      <c r="N51" s="91"/>
      <c r="O51" s="91"/>
    </row>
    <row r="52" spans="11:15" x14ac:dyDescent="0.25">
      <c r="K52" s="199"/>
      <c r="N52" s="91"/>
      <c r="O52" s="91"/>
    </row>
    <row r="53" spans="11:15" x14ac:dyDescent="0.25">
      <c r="K53" s="199"/>
      <c r="N53" s="91"/>
      <c r="O53" s="91"/>
    </row>
    <row r="54" spans="11:15" x14ac:dyDescent="0.25">
      <c r="K54" s="199"/>
      <c r="N54" s="91"/>
      <c r="O54" s="91"/>
    </row>
    <row r="55" spans="11:15" x14ac:dyDescent="0.25">
      <c r="K55" s="199"/>
      <c r="N55" s="91"/>
      <c r="O55" s="91"/>
    </row>
    <row r="56" spans="11:15" x14ac:dyDescent="0.25">
      <c r="K56" s="199"/>
      <c r="N56" s="91"/>
      <c r="O56" s="91"/>
    </row>
    <row r="57" spans="11:15" x14ac:dyDescent="0.25">
      <c r="K57" s="199"/>
      <c r="N57" s="91"/>
      <c r="O57" s="91"/>
    </row>
    <row r="58" spans="11:15" x14ac:dyDescent="0.25">
      <c r="K58" s="199"/>
      <c r="N58" s="91"/>
      <c r="O58" s="91"/>
    </row>
    <row r="59" spans="11:15" x14ac:dyDescent="0.25">
      <c r="K59" s="199"/>
      <c r="N59" s="91"/>
      <c r="O59" s="91"/>
    </row>
    <row r="60" spans="11:15" x14ac:dyDescent="0.25">
      <c r="K60" s="199"/>
      <c r="N60" s="91"/>
      <c r="O60" s="91"/>
    </row>
    <row r="61" spans="11:15" x14ac:dyDescent="0.25">
      <c r="K61" s="199"/>
      <c r="N61" s="91"/>
      <c r="O61" s="91"/>
    </row>
    <row r="62" spans="11:15" x14ac:dyDescent="0.25">
      <c r="K62" s="199"/>
      <c r="N62" s="91"/>
      <c r="O62" s="91"/>
    </row>
    <row r="63" spans="11:15" x14ac:dyDescent="0.25">
      <c r="K63" s="199"/>
      <c r="N63" s="91"/>
      <c r="O63" s="91"/>
    </row>
    <row r="64" spans="11:15" x14ac:dyDescent="0.25">
      <c r="K64" s="199"/>
      <c r="N64" s="91"/>
      <c r="O64" s="91"/>
    </row>
    <row r="65" spans="11:15" x14ac:dyDescent="0.25">
      <c r="K65" s="199"/>
      <c r="N65" s="91"/>
      <c r="O65" s="91"/>
    </row>
    <row r="66" spans="11:15" x14ac:dyDescent="0.25">
      <c r="K66" s="199"/>
      <c r="N66" s="91"/>
      <c r="O66" s="91"/>
    </row>
    <row r="67" spans="11:15" x14ac:dyDescent="0.25">
      <c r="K67" s="199"/>
      <c r="N67" s="91"/>
      <c r="O67" s="91"/>
    </row>
    <row r="68" spans="11:15" x14ac:dyDescent="0.25">
      <c r="K68" s="199"/>
      <c r="N68" s="91"/>
      <c r="O68" s="91"/>
    </row>
    <row r="69" spans="11:15" x14ac:dyDescent="0.25">
      <c r="K69" s="199"/>
      <c r="N69" s="91"/>
      <c r="O69" s="91"/>
    </row>
    <row r="70" spans="11:15" x14ac:dyDescent="0.25">
      <c r="K70" s="199"/>
      <c r="N70" s="91"/>
      <c r="O70" s="91"/>
    </row>
    <row r="71" spans="11:15" x14ac:dyDescent="0.25">
      <c r="K71" s="199"/>
      <c r="N71" s="91"/>
      <c r="O71" s="91"/>
    </row>
    <row r="72" spans="11:15" x14ac:dyDescent="0.25">
      <c r="K72" s="199"/>
      <c r="N72" s="91"/>
      <c r="O72" s="91"/>
    </row>
    <row r="73" spans="11:15" x14ac:dyDescent="0.25">
      <c r="K73" s="199"/>
      <c r="N73" s="91"/>
      <c r="O73" s="91"/>
    </row>
    <row r="74" spans="11:15" x14ac:dyDescent="0.25">
      <c r="K74" s="199"/>
      <c r="N74" s="91"/>
      <c r="O74" s="91"/>
    </row>
  </sheetData>
  <sortState xmlns:xlrd2="http://schemas.microsoft.com/office/spreadsheetml/2017/richdata2" ref="M48:O77">
    <sortCondition ref="M48:M7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4FD0-6EE4-4BB2-9116-B9E6228340DC}">
  <dimension ref="A1:M40"/>
  <sheetViews>
    <sheetView zoomScale="90" zoomScaleNormal="90" workbookViewId="0">
      <selection activeCell="L23" sqref="L23:L37"/>
    </sheetView>
  </sheetViews>
  <sheetFormatPr defaultRowHeight="15" x14ac:dyDescent="0.25"/>
  <cols>
    <col min="1" max="1" width="10.85546875" style="38" bestFit="1" customWidth="1"/>
    <col min="2" max="2" width="6.5703125" style="4" customWidth="1"/>
    <col min="3" max="3" width="10.140625" style="4" bestFit="1" customWidth="1"/>
    <col min="4" max="4" width="10.5703125" style="4" customWidth="1"/>
    <col min="5" max="5" width="6.85546875" style="4" customWidth="1"/>
    <col min="6" max="6" width="2.5703125" style="4" customWidth="1"/>
    <col min="7" max="7" width="11.140625" style="38" customWidth="1"/>
    <col min="8" max="12" width="12.85546875" style="4" customWidth="1"/>
    <col min="13" max="13" width="21.85546875" style="4" customWidth="1"/>
    <col min="14" max="16384" width="9.140625" style="38"/>
  </cols>
  <sheetData>
    <row r="1" spans="1:13" x14ac:dyDescent="0.25">
      <c r="A1" s="38" t="s">
        <v>398</v>
      </c>
      <c r="B1" s="4" t="s">
        <v>1</v>
      </c>
      <c r="C1" s="4" t="s">
        <v>427</v>
      </c>
      <c r="D1" s="4" t="s">
        <v>426</v>
      </c>
      <c r="E1" s="4" t="s">
        <v>399</v>
      </c>
      <c r="G1" s="4" t="s">
        <v>43</v>
      </c>
    </row>
    <row r="2" spans="1:13" x14ac:dyDescent="0.25">
      <c r="A2" s="38" t="s">
        <v>400</v>
      </c>
      <c r="B2" s="4">
        <v>45</v>
      </c>
      <c r="C2" s="5">
        <v>195.83399999999997</v>
      </c>
      <c r="D2" s="5">
        <v>148.27952209451061</v>
      </c>
      <c r="E2" s="4">
        <v>38.700000000000003</v>
      </c>
      <c r="G2" s="3" t="s">
        <v>0</v>
      </c>
      <c r="H2" s="3" t="s">
        <v>2</v>
      </c>
      <c r="I2" s="3" t="s">
        <v>1</v>
      </c>
      <c r="J2" s="3" t="s">
        <v>427</v>
      </c>
      <c r="K2" s="3" t="s">
        <v>426</v>
      </c>
      <c r="L2" s="3" t="s">
        <v>399</v>
      </c>
      <c r="M2" s="3" t="s">
        <v>310</v>
      </c>
    </row>
    <row r="3" spans="1:13" x14ac:dyDescent="0.25">
      <c r="A3" s="38" t="s">
        <v>401</v>
      </c>
      <c r="B3" s="4">
        <v>51</v>
      </c>
      <c r="C3" s="5">
        <v>154.68600000000001</v>
      </c>
      <c r="D3" s="5">
        <v>62.958695829666802</v>
      </c>
      <c r="E3" s="4">
        <v>26.6</v>
      </c>
      <c r="G3" s="4" t="s">
        <v>10</v>
      </c>
      <c r="H3" s="4" t="s">
        <v>6</v>
      </c>
      <c r="I3" s="4">
        <v>59</v>
      </c>
      <c r="J3" s="5">
        <v>168.91</v>
      </c>
      <c r="K3" s="5">
        <v>68.537888615725166</v>
      </c>
      <c r="L3" s="4">
        <v>24.1</v>
      </c>
      <c r="M3" s="5">
        <v>40.823361849207579</v>
      </c>
    </row>
    <row r="4" spans="1:13" x14ac:dyDescent="0.25">
      <c r="A4" s="38" t="s">
        <v>402</v>
      </c>
      <c r="B4" s="4">
        <v>42</v>
      </c>
      <c r="C4" s="5">
        <v>172.46600000000001</v>
      </c>
      <c r="D4" s="5">
        <v>80.240585679164667</v>
      </c>
      <c r="E4" s="4">
        <v>27</v>
      </c>
      <c r="G4" s="4" t="s">
        <v>18</v>
      </c>
      <c r="H4" s="4" t="s">
        <v>6</v>
      </c>
      <c r="I4" s="4">
        <v>48</v>
      </c>
      <c r="J4" s="5">
        <v>171.958</v>
      </c>
      <c r="K4" s="5">
        <v>92.306157070152693</v>
      </c>
      <c r="L4" s="4">
        <v>32.200000000000003</v>
      </c>
      <c r="M4" s="5">
        <v>43.363482142047154</v>
      </c>
    </row>
    <row r="5" spans="1:13" x14ac:dyDescent="0.25">
      <c r="A5" s="38" t="s">
        <v>403</v>
      </c>
      <c r="B5" s="4">
        <v>55</v>
      </c>
      <c r="C5" s="5">
        <v>185.42000000000002</v>
      </c>
      <c r="D5" s="5">
        <v>100.19867369433283</v>
      </c>
      <c r="E5" s="4">
        <v>29.3</v>
      </c>
      <c r="G5" s="21" t="s">
        <v>20</v>
      </c>
      <c r="H5" s="102"/>
      <c r="M5" s="5"/>
    </row>
    <row r="6" spans="1:13" x14ac:dyDescent="0.25">
      <c r="A6" s="38" t="s">
        <v>404</v>
      </c>
      <c r="B6" s="4">
        <v>56</v>
      </c>
      <c r="C6" s="5">
        <v>178.054</v>
      </c>
      <c r="D6" s="5">
        <v>104.46244704302801</v>
      </c>
      <c r="E6" s="4">
        <v>34.200000000000003</v>
      </c>
      <c r="G6" s="4" t="s">
        <v>21</v>
      </c>
      <c r="H6" s="4" t="s">
        <v>6</v>
      </c>
      <c r="I6" s="4">
        <v>63</v>
      </c>
      <c r="J6" s="5">
        <v>164.08399999999997</v>
      </c>
      <c r="K6" s="5">
        <v>86.500167829376494</v>
      </c>
      <c r="L6" s="4">
        <v>32.6</v>
      </c>
      <c r="M6" s="5">
        <v>73.98100352895284</v>
      </c>
    </row>
    <row r="7" spans="1:13" x14ac:dyDescent="0.25">
      <c r="A7" s="38" t="s">
        <v>405</v>
      </c>
      <c r="B7" s="4">
        <v>59</v>
      </c>
      <c r="C7" s="5">
        <v>168.91</v>
      </c>
      <c r="D7" s="5">
        <v>68.537888615725166</v>
      </c>
      <c r="E7" s="4">
        <v>24.1</v>
      </c>
      <c r="G7" s="4" t="s">
        <v>24</v>
      </c>
      <c r="H7" s="4" t="s">
        <v>6</v>
      </c>
      <c r="I7" s="4">
        <v>54</v>
      </c>
      <c r="J7" s="5">
        <v>175.26</v>
      </c>
      <c r="K7" s="5">
        <v>79.333399860293397</v>
      </c>
      <c r="L7" s="4">
        <v>27</v>
      </c>
      <c r="M7" s="5">
        <v>61.235042773811365</v>
      </c>
    </row>
    <row r="8" spans="1:13" x14ac:dyDescent="0.25">
      <c r="A8" s="38" t="s">
        <v>406</v>
      </c>
      <c r="B8" s="4">
        <v>53</v>
      </c>
      <c r="C8" s="5">
        <v>194.81800000000001</v>
      </c>
      <c r="D8" s="5">
        <v>102.05840462301894</v>
      </c>
      <c r="E8" s="4">
        <v>26.3</v>
      </c>
      <c r="G8" s="4" t="s">
        <v>25</v>
      </c>
      <c r="H8" s="4" t="s">
        <v>6</v>
      </c>
      <c r="I8" s="4">
        <v>52</v>
      </c>
      <c r="J8" s="5">
        <v>163.06800000000001</v>
      </c>
      <c r="K8" s="5">
        <v>76.929357440284491</v>
      </c>
      <c r="L8" s="4">
        <v>28</v>
      </c>
      <c r="M8" s="5">
        <v>51.029202311509472</v>
      </c>
    </row>
    <row r="9" spans="1:13" x14ac:dyDescent="0.25">
      <c r="A9" s="38" t="s">
        <v>407</v>
      </c>
      <c r="B9" s="4">
        <v>46</v>
      </c>
      <c r="C9" s="5">
        <v>182.88</v>
      </c>
      <c r="D9" s="5">
        <v>92.079360615434865</v>
      </c>
      <c r="E9" s="4">
        <v>29.4</v>
      </c>
      <c r="G9" s="4" t="s">
        <v>31</v>
      </c>
      <c r="H9" s="4" t="s">
        <v>6</v>
      </c>
      <c r="I9" s="4">
        <v>57</v>
      </c>
      <c r="J9" s="5">
        <v>165.1</v>
      </c>
      <c r="K9" s="5">
        <v>75.840734457638959</v>
      </c>
      <c r="L9" s="4">
        <v>27.1</v>
      </c>
      <c r="M9" s="5">
        <v>43.363482142047154</v>
      </c>
    </row>
    <row r="10" spans="1:13" x14ac:dyDescent="0.25">
      <c r="A10" s="38" t="s">
        <v>408</v>
      </c>
      <c r="B10" s="4">
        <v>44</v>
      </c>
      <c r="C10" s="5">
        <v>175.00600000000003</v>
      </c>
      <c r="D10" s="5">
        <v>130.8161950812385</v>
      </c>
      <c r="E10" s="4">
        <v>46.1</v>
      </c>
      <c r="G10" s="4" t="s">
        <v>32</v>
      </c>
      <c r="H10" s="4" t="s">
        <v>6</v>
      </c>
      <c r="I10" s="4">
        <v>61</v>
      </c>
      <c r="J10" s="5">
        <v>166.624</v>
      </c>
      <c r="K10" s="5">
        <v>64.27411526703014</v>
      </c>
      <c r="L10" s="4">
        <v>23.2</v>
      </c>
      <c r="M10" s="5">
        <v>61.235042773811365</v>
      </c>
    </row>
    <row r="11" spans="1:13" x14ac:dyDescent="0.25">
      <c r="A11" s="38" t="s">
        <v>409</v>
      </c>
      <c r="B11" s="4">
        <v>55</v>
      </c>
      <c r="C11" s="5">
        <v>165.35399999999998</v>
      </c>
      <c r="D11" s="5">
        <v>57.697018080213375</v>
      </c>
      <c r="E11" s="4">
        <v>21.1</v>
      </c>
      <c r="G11" s="4" t="s">
        <v>7</v>
      </c>
      <c r="H11" s="4" t="s">
        <v>4</v>
      </c>
      <c r="I11" s="4">
        <v>42</v>
      </c>
      <c r="J11" s="5">
        <v>172.46600000000001</v>
      </c>
      <c r="K11" s="5">
        <v>80.240585679164667</v>
      </c>
      <c r="L11" s="4">
        <v>27</v>
      </c>
      <c r="M11" s="5">
        <v>107.18400449964167</v>
      </c>
    </row>
    <row r="12" spans="1:13" x14ac:dyDescent="0.25">
      <c r="A12" s="38" t="s">
        <v>410</v>
      </c>
      <c r="B12" s="4">
        <v>64</v>
      </c>
      <c r="C12" s="5">
        <v>179.07</v>
      </c>
      <c r="D12" s="5">
        <v>83.325017463327015</v>
      </c>
      <c r="E12" s="4">
        <v>26</v>
      </c>
      <c r="G12" s="4" t="s">
        <v>8</v>
      </c>
      <c r="H12" s="4" t="s">
        <v>4</v>
      </c>
      <c r="I12" s="4">
        <v>55</v>
      </c>
      <c r="J12" s="5">
        <v>185.42000000000002</v>
      </c>
      <c r="K12" s="5">
        <v>100.19867369433283</v>
      </c>
      <c r="L12" s="4">
        <v>29.3</v>
      </c>
      <c r="M12" s="5">
        <v>66.360642650434102</v>
      </c>
    </row>
    <row r="13" spans="1:13" x14ac:dyDescent="0.25">
      <c r="A13" s="38" t="s">
        <v>411</v>
      </c>
      <c r="B13" s="4">
        <v>69</v>
      </c>
      <c r="C13" s="5">
        <v>183.89600000000002</v>
      </c>
      <c r="D13" s="5">
        <v>106.36753726265752</v>
      </c>
      <c r="E13" s="4">
        <v>32.5</v>
      </c>
      <c r="G13" s="4" t="s">
        <v>13</v>
      </c>
      <c r="H13" s="4" t="s">
        <v>4</v>
      </c>
      <c r="I13" s="4">
        <v>44</v>
      </c>
      <c r="J13" s="5">
        <v>175.00600000000003</v>
      </c>
      <c r="K13" s="5">
        <v>130.8161950812385</v>
      </c>
      <c r="L13" s="4">
        <v>46.1</v>
      </c>
      <c r="M13" s="5">
        <v>91.852564160717051</v>
      </c>
    </row>
    <row r="14" spans="1:13" x14ac:dyDescent="0.25">
      <c r="A14" s="38" t="s">
        <v>430</v>
      </c>
      <c r="B14" s="4">
        <v>48</v>
      </c>
      <c r="C14" s="5">
        <v>171.958</v>
      </c>
      <c r="D14" s="5">
        <v>92.306157070152693</v>
      </c>
      <c r="E14" s="4">
        <v>32.200000000000003</v>
      </c>
      <c r="G14" s="4" t="s">
        <v>16</v>
      </c>
      <c r="H14" s="4" t="s">
        <v>4</v>
      </c>
      <c r="I14" s="4">
        <v>64</v>
      </c>
      <c r="J14" s="5">
        <v>179.07</v>
      </c>
      <c r="K14" s="5">
        <v>83.325017463327015</v>
      </c>
      <c r="L14" s="4">
        <v>26</v>
      </c>
      <c r="M14" s="5">
        <v>63.775163066650947</v>
      </c>
    </row>
    <row r="15" spans="1:13" x14ac:dyDescent="0.25">
      <c r="A15" s="38" t="s">
        <v>412</v>
      </c>
      <c r="B15" s="4">
        <v>53</v>
      </c>
      <c r="C15" s="5">
        <v>168.91</v>
      </c>
      <c r="D15" s="5">
        <v>96.706008291678387</v>
      </c>
      <c r="E15" s="4">
        <v>33.9</v>
      </c>
      <c r="G15" s="4" t="s">
        <v>17</v>
      </c>
      <c r="H15" s="4" t="s">
        <v>4</v>
      </c>
      <c r="I15" s="4">
        <v>69</v>
      </c>
      <c r="J15" s="5">
        <v>183.89600000000002</v>
      </c>
      <c r="K15" s="5">
        <v>106.36753726265752</v>
      </c>
      <c r="L15" s="4">
        <v>32.5</v>
      </c>
      <c r="M15" s="5">
        <v>112.26424508532084</v>
      </c>
    </row>
    <row r="16" spans="1:13" x14ac:dyDescent="0.25">
      <c r="A16" s="38" t="s">
        <v>413</v>
      </c>
      <c r="B16" s="4">
        <v>63</v>
      </c>
      <c r="C16" s="5">
        <v>164.08399999999997</v>
      </c>
      <c r="D16" s="5">
        <v>86.500167829376494</v>
      </c>
      <c r="E16" s="4">
        <v>32.6</v>
      </c>
      <c r="G16" s="4" t="s">
        <v>30</v>
      </c>
      <c r="H16" s="4" t="s">
        <v>4</v>
      </c>
      <c r="I16" s="4">
        <v>50</v>
      </c>
      <c r="J16" s="5">
        <v>175.00600000000003</v>
      </c>
      <c r="K16" s="5">
        <v>89.992833232030932</v>
      </c>
      <c r="L16" s="4">
        <v>30.5</v>
      </c>
      <c r="M16" s="5">
        <v>81.646723698415158</v>
      </c>
    </row>
    <row r="17" spans="1:13" x14ac:dyDescent="0.25">
      <c r="A17" s="38" t="s">
        <v>414</v>
      </c>
      <c r="B17" s="4">
        <v>55</v>
      </c>
      <c r="C17" s="5">
        <v>166.87800000000001</v>
      </c>
      <c r="D17" s="5">
        <v>98.883254256969465</v>
      </c>
      <c r="E17" s="4">
        <v>35.200000000000003</v>
      </c>
      <c r="G17" s="4" t="s">
        <v>149</v>
      </c>
      <c r="H17" s="4" t="s">
        <v>4</v>
      </c>
      <c r="I17" s="4">
        <v>63</v>
      </c>
      <c r="J17" s="5">
        <v>183.89600000000002</v>
      </c>
      <c r="K17" s="5">
        <v>87.906305848626985</v>
      </c>
      <c r="L17" s="4">
        <v>26.3</v>
      </c>
      <c r="M17" s="5">
        <v>81.646723698415158</v>
      </c>
    </row>
    <row r="18" spans="1:13" x14ac:dyDescent="0.25">
      <c r="A18" s="38" t="s">
        <v>415</v>
      </c>
      <c r="B18" s="4">
        <v>60</v>
      </c>
      <c r="C18" s="5">
        <v>170.94200000000001</v>
      </c>
      <c r="D18" s="5">
        <v>68.76468507044298</v>
      </c>
      <c r="E18" s="4">
        <v>24.1</v>
      </c>
      <c r="G18" s="3" t="s">
        <v>33</v>
      </c>
      <c r="H18" s="8"/>
      <c r="I18" s="6">
        <f>AVERAGE(I3:I17)</f>
        <v>55.785714285714285</v>
      </c>
      <c r="J18" s="6">
        <f t="shared" ref="J18:M18" si="0">AVERAGE(J3:J17)</f>
        <v>173.55457142857145</v>
      </c>
      <c r="K18" s="8">
        <f t="shared" si="0"/>
        <v>87.326354914419994</v>
      </c>
      <c r="L18" s="8">
        <f t="shared" si="0"/>
        <v>29.421428571428574</v>
      </c>
      <c r="M18" s="8">
        <f t="shared" si="0"/>
        <v>69.982906027212991</v>
      </c>
    </row>
    <row r="19" spans="1:13" x14ac:dyDescent="0.25">
      <c r="A19" s="38" t="s">
        <v>416</v>
      </c>
      <c r="B19" s="4">
        <v>54</v>
      </c>
      <c r="C19" s="5">
        <v>175.26</v>
      </c>
      <c r="D19" s="5">
        <v>79.333399860293397</v>
      </c>
      <c r="E19" s="4">
        <v>27</v>
      </c>
      <c r="G19" s="3" t="s">
        <v>34</v>
      </c>
      <c r="H19" s="8"/>
      <c r="I19" s="6">
        <f>STDEV(I3:I17)</f>
        <v>7.9728247231413683</v>
      </c>
      <c r="J19" s="6">
        <f t="shared" ref="J19:L19" si="1">STDEV(J3:J17)</f>
        <v>7.5278916622863923</v>
      </c>
      <c r="K19" s="8">
        <f t="shared" si="1"/>
        <v>16.88670912960486</v>
      </c>
      <c r="L19" s="8">
        <f t="shared" si="1"/>
        <v>5.6450357458060836</v>
      </c>
      <c r="M19" s="8">
        <f t="shared" ref="M19" si="2">STDEV(M3:M17)</f>
        <v>22.819367315353745</v>
      </c>
    </row>
    <row r="20" spans="1:13" x14ac:dyDescent="0.25">
      <c r="A20" s="38" t="s">
        <v>417</v>
      </c>
      <c r="B20" s="4">
        <v>52</v>
      </c>
      <c r="C20" s="5">
        <v>163.06800000000001</v>
      </c>
      <c r="D20" s="5">
        <v>76.929357440284491</v>
      </c>
      <c r="E20" s="4">
        <v>28</v>
      </c>
      <c r="G20" s="3"/>
      <c r="H20"/>
    </row>
    <row r="21" spans="1:13" x14ac:dyDescent="0.25">
      <c r="A21" s="38" t="s">
        <v>418</v>
      </c>
      <c r="B21" s="4">
        <v>54</v>
      </c>
      <c r="C21" s="5">
        <v>161.036</v>
      </c>
      <c r="D21" s="5">
        <v>64.773067467409362</v>
      </c>
      <c r="E21" s="4">
        <v>28</v>
      </c>
      <c r="G21" s="4" t="s">
        <v>44</v>
      </c>
    </row>
    <row r="22" spans="1:13" x14ac:dyDescent="0.25">
      <c r="A22" s="38" t="s">
        <v>419</v>
      </c>
      <c r="B22" s="4">
        <v>63</v>
      </c>
      <c r="C22" s="5">
        <v>176.53</v>
      </c>
      <c r="D22" s="5">
        <v>91.897923451660603</v>
      </c>
      <c r="E22" s="4">
        <v>31</v>
      </c>
      <c r="G22" s="3" t="s">
        <v>0</v>
      </c>
      <c r="H22" s="3" t="s">
        <v>2</v>
      </c>
      <c r="I22" s="3" t="s">
        <v>1</v>
      </c>
      <c r="J22" s="3" t="s">
        <v>427</v>
      </c>
      <c r="K22" s="3" t="s">
        <v>426</v>
      </c>
      <c r="L22" s="3" t="s">
        <v>399</v>
      </c>
      <c r="M22" s="3" t="s">
        <v>310</v>
      </c>
    </row>
    <row r="23" spans="1:13" x14ac:dyDescent="0.25">
      <c r="A23" s="38" t="s">
        <v>420</v>
      </c>
      <c r="B23" s="4">
        <v>60</v>
      </c>
      <c r="C23" s="5">
        <v>178.56199999999998</v>
      </c>
      <c r="D23" s="5">
        <v>80.603460006713178</v>
      </c>
      <c r="E23" s="4">
        <v>25.1</v>
      </c>
      <c r="G23" s="4" t="s">
        <v>5</v>
      </c>
      <c r="H23" s="4" t="s">
        <v>6</v>
      </c>
      <c r="I23" s="4">
        <v>51</v>
      </c>
      <c r="J23" s="5">
        <v>154.68600000000001</v>
      </c>
      <c r="K23" s="5">
        <v>62.958695829666802</v>
      </c>
      <c r="L23" s="4">
        <v>26.6</v>
      </c>
      <c r="M23" s="5">
        <v>40.823361849207579</v>
      </c>
    </row>
    <row r="24" spans="1:13" x14ac:dyDescent="0.25">
      <c r="A24" s="38" t="s">
        <v>421</v>
      </c>
      <c r="B24" s="4">
        <v>70</v>
      </c>
      <c r="C24" s="5">
        <v>154.178</v>
      </c>
      <c r="D24" s="5">
        <v>55.29297566020449</v>
      </c>
      <c r="E24" s="4">
        <v>24.4</v>
      </c>
      <c r="G24" s="4" t="s">
        <v>14</v>
      </c>
      <c r="H24" s="4" t="s">
        <v>6</v>
      </c>
      <c r="I24" s="4">
        <v>55</v>
      </c>
      <c r="J24" s="5">
        <v>165.35399999999998</v>
      </c>
      <c r="K24" s="5">
        <v>57.697018080213375</v>
      </c>
      <c r="L24" s="4">
        <v>21.1</v>
      </c>
      <c r="M24" s="5">
        <v>40.823361849207579</v>
      </c>
    </row>
    <row r="25" spans="1:13" x14ac:dyDescent="0.25">
      <c r="A25" s="38" t="s">
        <v>429</v>
      </c>
      <c r="B25" s="4">
        <v>50</v>
      </c>
      <c r="C25" s="5">
        <v>175.00600000000003</v>
      </c>
      <c r="D25" s="5">
        <v>89.992833232030932</v>
      </c>
      <c r="E25" s="4">
        <v>30.5</v>
      </c>
      <c r="G25" s="4" t="s">
        <v>19</v>
      </c>
      <c r="H25" s="4" t="s">
        <v>6</v>
      </c>
      <c r="I25" s="4">
        <v>53</v>
      </c>
      <c r="J25" s="5">
        <v>168.91</v>
      </c>
      <c r="K25" s="5">
        <v>96.706008291678387</v>
      </c>
      <c r="L25" s="4">
        <v>33.9</v>
      </c>
      <c r="M25" s="5">
        <v>45.948961725830301</v>
      </c>
    </row>
    <row r="26" spans="1:13" x14ac:dyDescent="0.25">
      <c r="A26" s="38" t="s">
        <v>422</v>
      </c>
      <c r="B26" s="4">
        <v>57</v>
      </c>
      <c r="C26" s="5">
        <v>165.1</v>
      </c>
      <c r="D26" s="5">
        <v>75.840734457638959</v>
      </c>
      <c r="E26" s="4">
        <v>27.1</v>
      </c>
      <c r="G26" s="4" t="s">
        <v>22</v>
      </c>
      <c r="H26" s="4" t="s">
        <v>6</v>
      </c>
      <c r="I26" s="4">
        <v>55</v>
      </c>
      <c r="J26" s="5">
        <v>166.87800000000001</v>
      </c>
      <c r="K26" s="5">
        <v>98.883254256969465</v>
      </c>
      <c r="L26" s="4">
        <v>35.200000000000003</v>
      </c>
      <c r="M26" s="5">
        <v>40.823361849207579</v>
      </c>
    </row>
    <row r="27" spans="1:13" x14ac:dyDescent="0.25">
      <c r="A27" s="38" t="s">
        <v>423</v>
      </c>
      <c r="B27" s="4">
        <v>61</v>
      </c>
      <c r="C27" s="5">
        <v>166.624</v>
      </c>
      <c r="D27" s="5">
        <v>64.27411526703014</v>
      </c>
      <c r="E27" s="4">
        <v>23.2</v>
      </c>
      <c r="G27" s="4" t="s">
        <v>26</v>
      </c>
      <c r="H27" s="4" t="s">
        <v>6</v>
      </c>
      <c r="I27" s="4">
        <v>54</v>
      </c>
      <c r="J27" s="5">
        <v>161.036</v>
      </c>
      <c r="K27" s="5">
        <v>64.773067467409362</v>
      </c>
      <c r="L27" s="4">
        <v>28</v>
      </c>
      <c r="M27" s="5">
        <v>35.743121263528408</v>
      </c>
    </row>
    <row r="28" spans="1:13" x14ac:dyDescent="0.25">
      <c r="A28" s="38" t="s">
        <v>424</v>
      </c>
      <c r="B28" s="4">
        <v>63</v>
      </c>
      <c r="C28" s="5">
        <v>183.89600000000002</v>
      </c>
      <c r="D28" s="5">
        <v>87.906305848626985</v>
      </c>
      <c r="E28" s="4">
        <v>26.3</v>
      </c>
      <c r="G28" s="21" t="s">
        <v>42</v>
      </c>
      <c r="H28" s="102"/>
      <c r="M28" s="5"/>
    </row>
    <row r="29" spans="1:13" x14ac:dyDescent="0.25">
      <c r="A29" s="38" t="s">
        <v>425</v>
      </c>
      <c r="B29" s="4">
        <v>60</v>
      </c>
      <c r="C29" s="5">
        <v>157.47999999999999</v>
      </c>
      <c r="D29" s="5">
        <v>67.313187760248937</v>
      </c>
      <c r="E29" s="4">
        <v>26.2</v>
      </c>
      <c r="G29" s="4" t="s">
        <v>28</v>
      </c>
      <c r="H29" s="4" t="s">
        <v>6</v>
      </c>
      <c r="I29" s="4">
        <v>70</v>
      </c>
      <c r="J29" s="5">
        <v>154.178</v>
      </c>
      <c r="K29" s="5">
        <v>55.29297566020449</v>
      </c>
      <c r="L29" s="4">
        <v>24.4</v>
      </c>
      <c r="M29" s="5">
        <v>40.823361849207579</v>
      </c>
    </row>
    <row r="30" spans="1:13" x14ac:dyDescent="0.25">
      <c r="B30" s="6">
        <f>AVERAGE(B2:B29)</f>
        <v>55.785714285714285</v>
      </c>
      <c r="C30" s="8">
        <f t="shared" ref="C30:D30" si="3">AVERAGE(C2:C29)</f>
        <v>172.71092857142852</v>
      </c>
      <c r="D30" s="8">
        <f t="shared" si="3"/>
        <v>86.226392109038585</v>
      </c>
      <c r="E30" s="8">
        <f>AVERAGE(E2:E29)</f>
        <v>29.146428571428576</v>
      </c>
      <c r="F30" s="8"/>
      <c r="G30" s="4" t="s">
        <v>150</v>
      </c>
      <c r="H30" s="4" t="s">
        <v>6</v>
      </c>
      <c r="I30" s="4">
        <v>60</v>
      </c>
      <c r="J30" s="5">
        <v>157.47999999999999</v>
      </c>
      <c r="K30" s="5">
        <v>67.313187760248937</v>
      </c>
      <c r="L30" s="4">
        <v>26.2</v>
      </c>
      <c r="M30" s="5">
        <v>38.283241556367997</v>
      </c>
    </row>
    <row r="31" spans="1:13" x14ac:dyDescent="0.25">
      <c r="B31" s="6">
        <f>STDEV(B2:B29)</f>
        <v>7.1717405442376805</v>
      </c>
      <c r="C31" s="8">
        <f t="shared" ref="C31" si="4">STDEV(C2:C29)</f>
        <v>10.703438900232268</v>
      </c>
      <c r="D31" s="8">
        <f t="shared" ref="D31" si="5">STDEV(D2:D29)</f>
        <v>21.04751288810542</v>
      </c>
      <c r="E31" s="8">
        <f>STDEV(E2:E29)</f>
        <v>5.2654346057377994</v>
      </c>
      <c r="F31" s="8"/>
      <c r="G31" s="4" t="s">
        <v>3</v>
      </c>
      <c r="H31" s="4" t="s">
        <v>4</v>
      </c>
      <c r="I31" s="4">
        <v>45</v>
      </c>
      <c r="J31" s="5">
        <v>195.83399999999997</v>
      </c>
      <c r="K31" s="5">
        <v>148.27952209451061</v>
      </c>
      <c r="L31" s="4">
        <v>38.700000000000003</v>
      </c>
      <c r="M31" s="5">
        <v>76.566483112735995</v>
      </c>
    </row>
    <row r="32" spans="1:13" x14ac:dyDescent="0.25">
      <c r="G32" s="4" t="s">
        <v>9</v>
      </c>
      <c r="H32" s="4" t="s">
        <v>4</v>
      </c>
      <c r="I32" s="4">
        <v>56</v>
      </c>
      <c r="J32" s="5">
        <v>178.054</v>
      </c>
      <c r="K32" s="5">
        <v>104.46244704302801</v>
      </c>
      <c r="L32" s="4">
        <v>34.200000000000003</v>
      </c>
      <c r="M32" s="5">
        <v>130.13580571708502</v>
      </c>
    </row>
    <row r="33" spans="7:13" x14ac:dyDescent="0.25">
      <c r="G33" s="4" t="s">
        <v>11</v>
      </c>
      <c r="H33" s="4" t="s">
        <v>4</v>
      </c>
      <c r="I33" s="4">
        <v>53</v>
      </c>
      <c r="J33" s="5">
        <v>194.81800000000001</v>
      </c>
      <c r="K33" s="5">
        <v>102.05840462301894</v>
      </c>
      <c r="L33" s="4">
        <v>26.3</v>
      </c>
      <c r="M33" s="5">
        <v>153.08760693452842</v>
      </c>
    </row>
    <row r="34" spans="7:13" x14ac:dyDescent="0.25">
      <c r="G34" s="4" t="s">
        <v>12</v>
      </c>
      <c r="H34" s="4" t="s">
        <v>4</v>
      </c>
      <c r="I34" s="4">
        <v>46</v>
      </c>
      <c r="J34" s="5">
        <v>182.88</v>
      </c>
      <c r="K34" s="5">
        <v>92.079360615434865</v>
      </c>
      <c r="L34" s="4">
        <v>29.4</v>
      </c>
      <c r="M34" s="5">
        <v>193.54809445618747</v>
      </c>
    </row>
    <row r="35" spans="7:13" x14ac:dyDescent="0.25">
      <c r="G35" s="4" t="s">
        <v>23</v>
      </c>
      <c r="H35" s="4" t="s">
        <v>4</v>
      </c>
      <c r="I35" s="4">
        <v>60</v>
      </c>
      <c r="J35" s="5">
        <v>170.94200000000001</v>
      </c>
      <c r="K35" s="5">
        <v>68.76468507044298</v>
      </c>
      <c r="L35" s="4">
        <v>24.1</v>
      </c>
      <c r="M35" s="5"/>
    </row>
    <row r="36" spans="7:13" x14ac:dyDescent="0.25">
      <c r="G36" s="4" t="s">
        <v>27</v>
      </c>
      <c r="H36" s="4" t="s">
        <v>4</v>
      </c>
      <c r="I36" s="4">
        <v>63</v>
      </c>
      <c r="J36" s="5">
        <v>176.53</v>
      </c>
      <c r="K36" s="5">
        <v>91.897923451660603</v>
      </c>
      <c r="L36" s="4">
        <v>31</v>
      </c>
      <c r="M36" s="5">
        <v>66.360642650434102</v>
      </c>
    </row>
    <row r="37" spans="7:13" x14ac:dyDescent="0.25">
      <c r="G37" s="4" t="s">
        <v>29</v>
      </c>
      <c r="H37" s="4" t="s">
        <v>4</v>
      </c>
      <c r="I37" s="4">
        <v>60</v>
      </c>
      <c r="J37" s="5">
        <v>178.56199999999998</v>
      </c>
      <c r="K37" s="5">
        <v>80.603460006713178</v>
      </c>
      <c r="L37" s="4">
        <v>25.1</v>
      </c>
    </row>
    <row r="38" spans="7:13" x14ac:dyDescent="0.25">
      <c r="G38" s="3" t="s">
        <v>33</v>
      </c>
      <c r="I38" s="6">
        <f>AVERAGE(I23:I37)</f>
        <v>55.785714285714285</v>
      </c>
      <c r="J38" s="6">
        <f>AVERAGE(J23:J37)</f>
        <v>171.86728571428574</v>
      </c>
      <c r="K38" s="8">
        <f>AVERAGE(K23:K37)</f>
        <v>85.126429303657147</v>
      </c>
      <c r="L38" s="8">
        <f>AVERAGE(L23:L37)</f>
        <v>28.871428571428574</v>
      </c>
      <c r="M38" s="8">
        <f>AVERAGE(M23:M37)</f>
        <v>75.247283734460666</v>
      </c>
    </row>
    <row r="39" spans="7:13" x14ac:dyDescent="0.25">
      <c r="G39" s="3" t="s">
        <v>34</v>
      </c>
      <c r="I39" s="6">
        <f>STDEV(I23:I37)</f>
        <v>6.5770997984097761</v>
      </c>
      <c r="J39" s="6">
        <f>STDEV(J23:J37)</f>
        <v>13.406628087678072</v>
      </c>
      <c r="K39" s="8">
        <f>STDEV(K23:K37)</f>
        <v>25.145684092307214</v>
      </c>
      <c r="L39" s="8">
        <f>STDEV(L23:L37)</f>
        <v>5.0549942663634004</v>
      </c>
      <c r="M39" s="8">
        <f>STDEV(M23:M37)</f>
        <v>53.659699442238335</v>
      </c>
    </row>
    <row r="40" spans="7:13" x14ac:dyDescent="0.25">
      <c r="G40" s="3" t="s">
        <v>428</v>
      </c>
      <c r="H40" s="47"/>
      <c r="I40" s="47">
        <f>TTEST(I3:I17,I23:I37,2,2)</f>
        <v>1</v>
      </c>
      <c r="J40" s="47">
        <f t="shared" ref="J40:M40" si="6">TTEST(J3:J17,J23:J37,2,2)</f>
        <v>0.68472757669641093</v>
      </c>
      <c r="K40" s="47">
        <f t="shared" si="6"/>
        <v>0.78795696820638905</v>
      </c>
      <c r="L40" s="47">
        <f t="shared" si="6"/>
        <v>0.78808996399480002</v>
      </c>
      <c r="M40" s="47">
        <f t="shared" si="6"/>
        <v>0.74101166189782597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DCCB-0183-40B1-9074-C43B47E9202F}">
  <dimension ref="A1:O42"/>
  <sheetViews>
    <sheetView topLeftCell="G1" zoomScale="60" zoomScaleNormal="60" workbookViewId="0">
      <selection activeCell="N1" sqref="N1:O1048576"/>
    </sheetView>
  </sheetViews>
  <sheetFormatPr defaultRowHeight="15" x14ac:dyDescent="0.25"/>
  <cols>
    <col min="1" max="1" width="15.5703125" style="38" customWidth="1"/>
    <col min="2" max="2" width="14" style="38" customWidth="1"/>
    <col min="3" max="3" width="12.5703125" style="38" customWidth="1"/>
    <col min="4" max="4" width="33" style="38" bestFit="1" customWidth="1"/>
    <col min="5" max="5" width="34.85546875" style="38" bestFit="1" customWidth="1"/>
    <col min="6" max="6" width="33" style="38" bestFit="1" customWidth="1"/>
    <col min="7" max="7" width="34.85546875" style="38" bestFit="1" customWidth="1"/>
    <col min="8" max="8" width="35.85546875" style="38" bestFit="1" customWidth="1"/>
    <col min="9" max="9" width="37.7109375" style="38" bestFit="1" customWidth="1"/>
    <col min="10" max="11" width="34.85546875" style="38" bestFit="1" customWidth="1"/>
    <col min="12" max="12" width="27.140625" style="38" customWidth="1"/>
    <col min="13" max="13" width="31.85546875" style="38" customWidth="1"/>
    <col min="14" max="14" width="20.42578125" style="4" bestFit="1" customWidth="1"/>
    <col min="15" max="15" width="22" style="4" bestFit="1" customWidth="1"/>
    <col min="16" max="16384" width="9.140625" style="38"/>
  </cols>
  <sheetData>
    <row r="1" spans="1:15" ht="15.75" thickBot="1" x14ac:dyDescent="0.3">
      <c r="A1" s="4" t="s">
        <v>43</v>
      </c>
      <c r="B1" s="4"/>
      <c r="C1" s="4"/>
      <c r="D1" s="38" t="s">
        <v>161</v>
      </c>
      <c r="H1" s="38" t="s">
        <v>162</v>
      </c>
    </row>
    <row r="2" spans="1:15" x14ac:dyDescent="0.25">
      <c r="A2" s="3" t="s">
        <v>0</v>
      </c>
      <c r="B2" s="3" t="s">
        <v>1</v>
      </c>
      <c r="C2" s="3" t="s">
        <v>2</v>
      </c>
      <c r="D2" s="3" t="s">
        <v>287</v>
      </c>
      <c r="E2" s="3" t="s">
        <v>288</v>
      </c>
      <c r="F2" s="3" t="s">
        <v>291</v>
      </c>
      <c r="G2" s="3" t="s">
        <v>292</v>
      </c>
      <c r="H2" s="3" t="s">
        <v>287</v>
      </c>
      <c r="I2" s="3" t="s">
        <v>288</v>
      </c>
      <c r="J2" s="3" t="s">
        <v>291</v>
      </c>
      <c r="K2" s="3" t="s">
        <v>292</v>
      </c>
      <c r="L2" s="115" t="s">
        <v>289</v>
      </c>
      <c r="M2" s="116" t="s">
        <v>290</v>
      </c>
    </row>
    <row r="3" spans="1:15" x14ac:dyDescent="0.25">
      <c r="A3" s="4" t="s">
        <v>10</v>
      </c>
      <c r="B3" s="4">
        <v>59</v>
      </c>
      <c r="C3" s="4" t="s">
        <v>6</v>
      </c>
      <c r="D3" s="111">
        <v>9.7206710580000006</v>
      </c>
      <c r="E3" s="111">
        <v>9.9170997570000008</v>
      </c>
      <c r="F3" s="111">
        <v>32.3072807</v>
      </c>
      <c r="G3" s="111">
        <v>32.847422739999999</v>
      </c>
      <c r="H3" s="43">
        <f>D3/2.20462</f>
        <v>4.4092274668650386</v>
      </c>
      <c r="I3" s="43">
        <f t="shared" ref="I3:K4" si="0">E3/2.20462</f>
        <v>4.4983261319411065</v>
      </c>
      <c r="J3" s="43">
        <f t="shared" si="0"/>
        <v>14.654353448666892</v>
      </c>
      <c r="K3" s="43">
        <f t="shared" si="0"/>
        <v>14.899358048098993</v>
      </c>
      <c r="L3" s="117">
        <f>1.18*(SUM(H3,J3)-0.03*B3-0.14)</f>
        <v>20.241225480327675</v>
      </c>
      <c r="M3" s="118">
        <f>1.18*(SUM(I3,K3)-0.03*B3-0.14)</f>
        <v>20.635467332447316</v>
      </c>
      <c r="N3" s="43"/>
      <c r="O3" s="43"/>
    </row>
    <row r="4" spans="1:15" x14ac:dyDescent="0.25">
      <c r="A4" s="4" t="s">
        <v>18</v>
      </c>
      <c r="B4" s="4">
        <v>48</v>
      </c>
      <c r="C4" s="4" t="s">
        <v>6</v>
      </c>
      <c r="D4" s="111">
        <v>12.119282269999999</v>
      </c>
      <c r="E4" s="111">
        <v>12.0244225</v>
      </c>
      <c r="F4" s="111">
        <v>40.922818339999999</v>
      </c>
      <c r="G4" s="111">
        <v>41.116719689999996</v>
      </c>
      <c r="H4" s="43">
        <f>D4/2.20462</f>
        <v>5.4972205051210645</v>
      </c>
      <c r="I4" s="43">
        <f t="shared" si="0"/>
        <v>5.4541927860583685</v>
      </c>
      <c r="J4" s="43">
        <f t="shared" si="0"/>
        <v>18.562300233146757</v>
      </c>
      <c r="K4" s="43">
        <f t="shared" si="0"/>
        <v>18.650252510636754</v>
      </c>
      <c r="L4" s="117">
        <f t="shared" ref="L4:L15" si="1">1.18*(SUM(H4,J4)-0.03*B4-0.14)</f>
        <v>26.525834471156024</v>
      </c>
      <c r="M4" s="118">
        <f t="shared" ref="M4:M15" si="2">1.18*(SUM(I4,K4)-0.03*B4-0.14)</f>
        <v>26.578845450100239</v>
      </c>
      <c r="N4" s="43"/>
      <c r="O4" s="43"/>
    </row>
    <row r="5" spans="1:15" x14ac:dyDescent="0.25">
      <c r="A5" s="21" t="s">
        <v>20</v>
      </c>
      <c r="B5" s="21">
        <v>44</v>
      </c>
      <c r="C5" s="21" t="s">
        <v>6</v>
      </c>
      <c r="D5" s="114" t="s">
        <v>152</v>
      </c>
      <c r="E5" s="114"/>
      <c r="F5" s="114"/>
      <c r="G5" s="114"/>
      <c r="H5" s="99"/>
      <c r="I5" s="99"/>
      <c r="J5" s="99"/>
      <c r="K5" s="99"/>
      <c r="L5" s="117"/>
      <c r="M5" s="118"/>
      <c r="N5" s="43"/>
      <c r="O5" s="43"/>
    </row>
    <row r="6" spans="1:15" x14ac:dyDescent="0.25">
      <c r="A6" s="4" t="s">
        <v>21</v>
      </c>
      <c r="B6" s="4">
        <v>63</v>
      </c>
      <c r="C6" s="4" t="s">
        <v>6</v>
      </c>
      <c r="D6" s="111">
        <v>10.708721710000001</v>
      </c>
      <c r="E6" s="111">
        <v>11.425364829999999</v>
      </c>
      <c r="F6" s="111">
        <v>34.369903870000002</v>
      </c>
      <c r="G6" s="111">
        <v>34.98560818</v>
      </c>
      <c r="H6" s="43">
        <f t="shared" ref="H6:K15" si="3">D6/2.20462</f>
        <v>4.8574002367754998</v>
      </c>
      <c r="I6" s="43">
        <f t="shared" si="3"/>
        <v>5.182464474603333</v>
      </c>
      <c r="J6" s="43">
        <f t="shared" si="3"/>
        <v>15.589944693416555</v>
      </c>
      <c r="K6" s="43">
        <f t="shared" si="3"/>
        <v>15.869223802741518</v>
      </c>
      <c r="L6" s="117">
        <f t="shared" si="1"/>
        <v>21.732467017626625</v>
      </c>
      <c r="M6" s="118">
        <f t="shared" si="2"/>
        <v>22.445592167266923</v>
      </c>
      <c r="N6" s="43"/>
      <c r="O6" s="43"/>
    </row>
    <row r="7" spans="1:15" x14ac:dyDescent="0.25">
      <c r="A7" s="4" t="s">
        <v>24</v>
      </c>
      <c r="B7" s="4">
        <v>54</v>
      </c>
      <c r="C7" s="4" t="s">
        <v>6</v>
      </c>
      <c r="D7" s="111">
        <v>9.3746512430000006</v>
      </c>
      <c r="E7" s="111">
        <v>10.204785579999999</v>
      </c>
      <c r="F7" s="111">
        <v>34.733873780000003</v>
      </c>
      <c r="G7" s="111">
        <v>36.388102349999997</v>
      </c>
      <c r="H7" s="43">
        <f t="shared" si="3"/>
        <v>4.252275332256807</v>
      </c>
      <c r="I7" s="43">
        <f t="shared" si="3"/>
        <v>4.6288183813990624</v>
      </c>
      <c r="J7" s="43">
        <f t="shared" si="3"/>
        <v>15.755038863840483</v>
      </c>
      <c r="K7" s="43">
        <f t="shared" si="3"/>
        <v>16.505385213778339</v>
      </c>
      <c r="L7" s="117">
        <f t="shared" si="1"/>
        <v>21.5318307513948</v>
      </c>
      <c r="M7" s="118">
        <f t="shared" si="2"/>
        <v>22.861560242309334</v>
      </c>
      <c r="N7" s="43"/>
      <c r="O7" s="43"/>
    </row>
    <row r="8" spans="1:15" x14ac:dyDescent="0.25">
      <c r="A8" s="4" t="s">
        <v>25</v>
      </c>
      <c r="B8" s="4">
        <v>52</v>
      </c>
      <c r="C8" s="4" t="s">
        <v>6</v>
      </c>
      <c r="D8" s="111">
        <v>8.6307026400000009</v>
      </c>
      <c r="E8" s="111">
        <v>9.4493357640000006</v>
      </c>
      <c r="F8" s="111">
        <v>33.5179185</v>
      </c>
      <c r="G8" s="111">
        <v>34.153033890000003</v>
      </c>
      <c r="H8" s="43">
        <f t="shared" si="3"/>
        <v>3.9148255209514571</v>
      </c>
      <c r="I8" s="43">
        <f t="shared" si="3"/>
        <v>4.2861517014270039</v>
      </c>
      <c r="J8" s="43">
        <f t="shared" si="3"/>
        <v>15.203490170641654</v>
      </c>
      <c r="K8" s="43">
        <f t="shared" si="3"/>
        <v>15.491574008219107</v>
      </c>
      <c r="L8" s="117">
        <f t="shared" si="1"/>
        <v>20.55361251607987</v>
      </c>
      <c r="M8" s="118">
        <f t="shared" si="2"/>
        <v>21.331716337382414</v>
      </c>
      <c r="N8" s="43"/>
      <c r="O8" s="43"/>
    </row>
    <row r="9" spans="1:15" x14ac:dyDescent="0.25">
      <c r="A9" s="4" t="s">
        <v>31</v>
      </c>
      <c r="B9" s="4">
        <v>57</v>
      </c>
      <c r="C9" s="4" t="s">
        <v>6</v>
      </c>
      <c r="D9" s="111">
        <v>8.6218336799999999</v>
      </c>
      <c r="E9" s="111">
        <v>9.5542495780000003</v>
      </c>
      <c r="F9" s="111">
        <v>30.825519809999999</v>
      </c>
      <c r="G9" s="111">
        <v>32.67374667</v>
      </c>
      <c r="H9" s="43">
        <f t="shared" si="3"/>
        <v>3.9108026235813886</v>
      </c>
      <c r="I9" s="43">
        <f t="shared" si="3"/>
        <v>4.333739863559253</v>
      </c>
      <c r="J9" s="43">
        <f t="shared" si="3"/>
        <v>13.982237215483849</v>
      </c>
      <c r="K9" s="43">
        <f t="shared" si="3"/>
        <v>14.820579814208346</v>
      </c>
      <c r="L9" s="117">
        <f t="shared" si="1"/>
        <v>18.930787010096978</v>
      </c>
      <c r="M9" s="118">
        <f t="shared" si="2"/>
        <v>20.419097219765764</v>
      </c>
      <c r="N9" s="43"/>
      <c r="O9" s="43"/>
    </row>
    <row r="10" spans="1:15" x14ac:dyDescent="0.25">
      <c r="A10" s="4" t="s">
        <v>32</v>
      </c>
      <c r="B10" s="4">
        <v>61</v>
      </c>
      <c r="C10" s="4" t="s">
        <v>6</v>
      </c>
      <c r="D10" s="111">
        <v>10.02375908</v>
      </c>
      <c r="E10" s="111">
        <v>9.9201295609999995</v>
      </c>
      <c r="F10" s="111">
        <v>34.915000259999999</v>
      </c>
      <c r="G10" s="111">
        <v>34.830336930000001</v>
      </c>
      <c r="H10" s="43">
        <f t="shared" si="3"/>
        <v>4.5467060445791114</v>
      </c>
      <c r="I10" s="43">
        <f t="shared" si="3"/>
        <v>4.4997004295524858</v>
      </c>
      <c r="J10" s="43">
        <f t="shared" si="3"/>
        <v>15.837196550879518</v>
      </c>
      <c r="K10" s="43">
        <f t="shared" si="3"/>
        <v>15.79879386470231</v>
      </c>
      <c r="L10" s="117">
        <f t="shared" si="1"/>
        <v>21.728405062641183</v>
      </c>
      <c r="M10" s="118">
        <f t="shared" si="2"/>
        <v>21.627623267220656</v>
      </c>
      <c r="N10" s="43"/>
      <c r="O10" s="43"/>
    </row>
    <row r="11" spans="1:15" x14ac:dyDescent="0.25">
      <c r="A11" s="4" t="s">
        <v>7</v>
      </c>
      <c r="B11" s="4">
        <v>42</v>
      </c>
      <c r="C11" s="4" t="s">
        <v>4</v>
      </c>
      <c r="D11" s="111">
        <v>15.73223866</v>
      </c>
      <c r="E11" s="111">
        <v>16.33272247</v>
      </c>
      <c r="F11" s="111">
        <v>40.383661359999998</v>
      </c>
      <c r="G11" s="111">
        <v>41.621472590000003</v>
      </c>
      <c r="H11" s="43">
        <f t="shared" si="3"/>
        <v>7.1360319057252504</v>
      </c>
      <c r="I11" s="43">
        <f t="shared" si="3"/>
        <v>7.4084071041721486</v>
      </c>
      <c r="J11" s="43">
        <f t="shared" si="3"/>
        <v>18.317742449946024</v>
      </c>
      <c r="K11" s="43">
        <f t="shared" si="3"/>
        <v>18.879204847093835</v>
      </c>
      <c r="L11" s="117">
        <f t="shared" si="1"/>
        <v>28.383453739692101</v>
      </c>
      <c r="M11" s="118">
        <f t="shared" si="2"/>
        <v>29.367382102493856</v>
      </c>
      <c r="N11" s="43"/>
      <c r="O11" s="43"/>
    </row>
    <row r="12" spans="1:15" x14ac:dyDescent="0.25">
      <c r="A12" s="4" t="s">
        <v>8</v>
      </c>
      <c r="B12" s="4">
        <v>55</v>
      </c>
      <c r="C12" s="4" t="s">
        <v>4</v>
      </c>
      <c r="D12" s="111">
        <v>18.210780440000001</v>
      </c>
      <c r="E12" s="111">
        <v>18.117952209999999</v>
      </c>
      <c r="F12" s="111">
        <v>47.771599610000003</v>
      </c>
      <c r="G12" s="111">
        <v>48.804659129999997</v>
      </c>
      <c r="H12" s="43">
        <f t="shared" si="3"/>
        <v>8.2602808828732392</v>
      </c>
      <c r="I12" s="43">
        <f t="shared" si="3"/>
        <v>8.2181746559497775</v>
      </c>
      <c r="J12" s="43">
        <f t="shared" si="3"/>
        <v>21.668858855494374</v>
      </c>
      <c r="K12" s="43">
        <f t="shared" si="3"/>
        <v>22.137447328791357</v>
      </c>
      <c r="L12" s="117">
        <f t="shared" si="1"/>
        <v>33.204184891273783</v>
      </c>
      <c r="M12" s="118">
        <f t="shared" si="2"/>
        <v>33.707433941994537</v>
      </c>
      <c r="N12" s="43"/>
      <c r="O12" s="43"/>
    </row>
    <row r="13" spans="1:15" x14ac:dyDescent="0.25">
      <c r="A13" s="4" t="s">
        <v>13</v>
      </c>
      <c r="B13" s="4">
        <v>44</v>
      </c>
      <c r="C13" s="4" t="s">
        <v>4</v>
      </c>
      <c r="D13" s="112" t="s">
        <v>330</v>
      </c>
      <c r="E13" s="112"/>
      <c r="F13" s="112"/>
      <c r="G13" s="112"/>
      <c r="H13" s="112"/>
      <c r="I13" s="112"/>
      <c r="J13" s="112"/>
      <c r="K13" s="112"/>
      <c r="L13" s="117"/>
      <c r="M13" s="118"/>
      <c r="N13" s="43"/>
      <c r="O13" s="43"/>
    </row>
    <row r="14" spans="1:15" x14ac:dyDescent="0.25">
      <c r="A14" s="4" t="s">
        <v>16</v>
      </c>
      <c r="B14" s="4">
        <v>64</v>
      </c>
      <c r="C14" s="4" t="s">
        <v>4</v>
      </c>
      <c r="D14" s="111">
        <v>14.552716650000001</v>
      </c>
      <c r="E14" s="111">
        <v>15.101336399999999</v>
      </c>
      <c r="F14" s="111">
        <v>42.338732899999997</v>
      </c>
      <c r="G14" s="111">
        <v>41.442456630000002</v>
      </c>
      <c r="H14" s="43">
        <f t="shared" si="3"/>
        <v>6.6010090854659769</v>
      </c>
      <c r="I14" s="43">
        <f t="shared" si="3"/>
        <v>6.8498591140423297</v>
      </c>
      <c r="J14" s="43">
        <f t="shared" si="3"/>
        <v>19.204549037929439</v>
      </c>
      <c r="K14" s="43">
        <f t="shared" si="3"/>
        <v>18.798004476962017</v>
      </c>
      <c r="L14" s="117">
        <f t="shared" si="1"/>
        <v>28.019758585606585</v>
      </c>
      <c r="M14" s="118">
        <f t="shared" si="2"/>
        <v>27.833679037385124</v>
      </c>
      <c r="N14" s="43"/>
      <c r="O14" s="43"/>
    </row>
    <row r="15" spans="1:15" x14ac:dyDescent="0.25">
      <c r="A15" s="4" t="s">
        <v>17</v>
      </c>
      <c r="B15" s="4">
        <v>69</v>
      </c>
      <c r="C15" s="4" t="s">
        <v>4</v>
      </c>
      <c r="D15" s="111">
        <v>18.646115689999998</v>
      </c>
      <c r="E15" s="111">
        <v>18.299089800000001</v>
      </c>
      <c r="F15" s="111">
        <v>46.994112970000003</v>
      </c>
      <c r="G15" s="111">
        <v>48.253527699999999</v>
      </c>
      <c r="H15" s="43">
        <f t="shared" si="3"/>
        <v>8.4577458655006303</v>
      </c>
      <c r="I15" s="43">
        <f t="shared" si="3"/>
        <v>8.30033738240604</v>
      </c>
      <c r="J15" s="43">
        <f t="shared" si="3"/>
        <v>21.316196428409434</v>
      </c>
      <c r="K15" s="43">
        <f t="shared" si="3"/>
        <v>21.887458019976233</v>
      </c>
      <c r="L15" s="117">
        <f t="shared" si="1"/>
        <v>32.525451906813871</v>
      </c>
      <c r="M15" s="118">
        <f t="shared" si="2"/>
        <v>33.013798574811076</v>
      </c>
      <c r="N15" s="43"/>
      <c r="O15" s="43"/>
    </row>
    <row r="16" spans="1:15" x14ac:dyDescent="0.25">
      <c r="A16" s="4" t="s">
        <v>30</v>
      </c>
      <c r="B16" s="4">
        <v>50</v>
      </c>
      <c r="C16" s="4" t="s">
        <v>4</v>
      </c>
      <c r="D16" s="111">
        <f>E16/1.01713796058269</f>
        <v>15.730412805391754</v>
      </c>
      <c r="E16" s="113">
        <v>16</v>
      </c>
      <c r="F16" s="111">
        <f>G16/1.01713796058269</f>
        <v>40.604128053917464</v>
      </c>
      <c r="G16" s="113">
        <v>41.3</v>
      </c>
      <c r="H16" s="43">
        <f t="shared" ref="H16:H17" si="4">D16/2.20462</f>
        <v>7.1352037110212896</v>
      </c>
      <c r="I16" s="43">
        <f t="shared" ref="I16:I17" si="5">E16/2.20462</f>
        <v>7.2574865509702358</v>
      </c>
      <c r="J16" s="43">
        <f t="shared" ref="J16:J17" si="6">F16/2.20462</f>
        <v>18.417744579073702</v>
      </c>
      <c r="K16" s="43">
        <f t="shared" ref="K16:K17" si="7">G16/2.20462</f>
        <v>18.733387159691919</v>
      </c>
      <c r="L16" s="117">
        <f t="shared" ref="L16:L17" si="8">1.18*(SUM(H16,J16)-0.03*B16-0.14)</f>
        <v>28.217278982312088</v>
      </c>
      <c r="M16" s="118">
        <f t="shared" ref="M16:M17" si="9">1.18*(SUM(I16,K16)-0.03*B16-0.14)</f>
        <v>28.734030978581337</v>
      </c>
      <c r="N16" s="43"/>
      <c r="O16" s="43"/>
    </row>
    <row r="17" spans="1:15" x14ac:dyDescent="0.25">
      <c r="A17" s="4" t="s">
        <v>149</v>
      </c>
      <c r="B17" s="4">
        <v>63</v>
      </c>
      <c r="C17" s="4" t="s">
        <v>4</v>
      </c>
      <c r="D17" s="111">
        <v>18.129856149999998</v>
      </c>
      <c r="E17" s="111">
        <v>18.857745269999999</v>
      </c>
      <c r="F17" s="111">
        <v>45.60788153</v>
      </c>
      <c r="G17" s="111">
        <v>47.865309179999997</v>
      </c>
      <c r="H17" s="43">
        <f t="shared" si="4"/>
        <v>8.2235741987281248</v>
      </c>
      <c r="I17" s="43">
        <f t="shared" si="5"/>
        <v>8.5537395424154727</v>
      </c>
      <c r="J17" s="43">
        <f t="shared" si="6"/>
        <v>20.687411676388678</v>
      </c>
      <c r="K17" s="43">
        <f t="shared" si="7"/>
        <v>21.711364851992634</v>
      </c>
      <c r="L17" s="117">
        <f t="shared" si="8"/>
        <v>31.719563332637822</v>
      </c>
      <c r="M17" s="118">
        <f t="shared" si="9"/>
        <v>33.317423185401559</v>
      </c>
      <c r="N17" s="43"/>
      <c r="O17" s="43"/>
    </row>
    <row r="18" spans="1:15" x14ac:dyDescent="0.25">
      <c r="A18" s="3" t="s">
        <v>33</v>
      </c>
      <c r="B18" s="8">
        <f>AVERAGE(B3:B17)</f>
        <v>55</v>
      </c>
      <c r="C18" s="8"/>
      <c r="D18" s="8"/>
      <c r="E18" s="8"/>
      <c r="F18" s="8"/>
      <c r="G18" s="8"/>
      <c r="H18" s="8">
        <f t="shared" ref="H18:K18" si="10">AVERAGE(H3:H17)</f>
        <v>5.9386387214957601</v>
      </c>
      <c r="I18" s="8">
        <f t="shared" si="10"/>
        <v>6.1131844706535867</v>
      </c>
      <c r="J18" s="8">
        <f t="shared" si="10"/>
        <v>17.630543400255181</v>
      </c>
      <c r="K18" s="8">
        <f t="shared" si="10"/>
        <v>18.014002611299489</v>
      </c>
      <c r="L18" s="119">
        <f t="shared" ref="L18:M18" si="11">AVERAGE(L3:L17)</f>
        <v>25.63952721135842</v>
      </c>
      <c r="M18" s="120">
        <f t="shared" si="11"/>
        <v>26.297973064396935</v>
      </c>
      <c r="N18" s="43"/>
      <c r="O18" s="43"/>
    </row>
    <row r="19" spans="1:15" x14ac:dyDescent="0.25">
      <c r="A19" s="3" t="s">
        <v>34</v>
      </c>
      <c r="B19" s="8">
        <f>STDEV(B3:B17)</f>
        <v>8.2635170651311842</v>
      </c>
      <c r="C19" s="8"/>
      <c r="D19" s="8"/>
      <c r="E19" s="8"/>
      <c r="F19" s="8"/>
      <c r="G19" s="8"/>
      <c r="H19" s="8">
        <f t="shared" ref="H19:K19" si="12">STDEV(H3:H17)</f>
        <v>1.7548354298707256</v>
      </c>
      <c r="I19" s="8">
        <f t="shared" si="12"/>
        <v>1.6812711347463445</v>
      </c>
      <c r="J19" s="8">
        <f t="shared" si="12"/>
        <v>2.6240895514171583</v>
      </c>
      <c r="K19" s="8">
        <f t="shared" si="12"/>
        <v>2.677176076447259</v>
      </c>
      <c r="L19" s="119">
        <f t="shared" ref="L19:M19" si="13">STDEV(L3:L17)</f>
        <v>5.0800457173374927</v>
      </c>
      <c r="M19" s="120">
        <f t="shared" si="13"/>
        <v>5.0565043265177723</v>
      </c>
      <c r="N19" s="43"/>
      <c r="O19" s="43"/>
    </row>
    <row r="20" spans="1:15" x14ac:dyDescent="0.25">
      <c r="A20" s="3" t="s">
        <v>160</v>
      </c>
      <c r="E20" s="40"/>
      <c r="G20" s="40"/>
      <c r="I20" s="100">
        <f>TTEST(H2:H16,I2:I16,2,1)</f>
        <v>1.7371275066934661E-2</v>
      </c>
      <c r="K20" s="100">
        <f>TTEST(J2:J16,K2:K16,2,1)</f>
        <v>6.9838435551885783E-3</v>
      </c>
      <c r="L20" s="121"/>
      <c r="M20" s="122">
        <f>TTEST(L2:L16,M2:M16,2,1)</f>
        <v>2.6716478875915602E-3</v>
      </c>
      <c r="N20" s="43"/>
      <c r="O20" s="43"/>
    </row>
    <row r="21" spans="1:15" x14ac:dyDescent="0.25">
      <c r="A21" s="4" t="s">
        <v>44</v>
      </c>
      <c r="B21" s="4"/>
      <c r="C21" s="4"/>
      <c r="L21" s="121"/>
      <c r="M21" s="123"/>
    </row>
    <row r="22" spans="1:15" x14ac:dyDescent="0.25">
      <c r="L22" s="121"/>
      <c r="M22" s="123"/>
    </row>
    <row r="23" spans="1:15" x14ac:dyDescent="0.25">
      <c r="A23" s="3" t="s">
        <v>0</v>
      </c>
      <c r="B23" s="3" t="s">
        <v>1</v>
      </c>
      <c r="C23" s="3" t="s">
        <v>2</v>
      </c>
      <c r="D23" s="3" t="s">
        <v>287</v>
      </c>
      <c r="E23" s="3" t="s">
        <v>288</v>
      </c>
      <c r="F23" s="3" t="s">
        <v>291</v>
      </c>
      <c r="G23" s="3" t="s">
        <v>292</v>
      </c>
      <c r="H23" s="3" t="s">
        <v>287</v>
      </c>
      <c r="I23" s="3" t="s">
        <v>288</v>
      </c>
      <c r="J23" s="3" t="s">
        <v>291</v>
      </c>
      <c r="K23" s="3" t="s">
        <v>292</v>
      </c>
      <c r="L23" s="124" t="s">
        <v>289</v>
      </c>
      <c r="M23" s="125" t="s">
        <v>290</v>
      </c>
    </row>
    <row r="24" spans="1:15" x14ac:dyDescent="0.25">
      <c r="A24" s="4" t="s">
        <v>5</v>
      </c>
      <c r="B24" s="4">
        <v>51</v>
      </c>
      <c r="C24" s="4" t="s">
        <v>6</v>
      </c>
      <c r="D24" s="111">
        <v>7.6407344659999996</v>
      </c>
      <c r="E24" s="111">
        <v>8.3593852680000005</v>
      </c>
      <c r="F24" s="111">
        <v>25.727385160000001</v>
      </c>
      <c r="G24" s="111">
        <v>27.451081680000001</v>
      </c>
      <c r="H24" s="43">
        <f>D24/2.20462</f>
        <v>3.465782976658109</v>
      </c>
      <c r="I24" s="43">
        <f t="shared" ref="I24:K38" si="14">E24/2.20462</f>
        <v>3.7917578848055453</v>
      </c>
      <c r="J24" s="43">
        <f t="shared" si="14"/>
        <v>11.669759486895702</v>
      </c>
      <c r="K24" s="43">
        <f t="shared" si="14"/>
        <v>12.45161600638659</v>
      </c>
      <c r="L24" s="117">
        <f>1.18*(SUM(H24,J24)-0.03*B24-0.14)</f>
        <v>15.889340106993497</v>
      </c>
      <c r="M24" s="118">
        <f>1.18*(SUM(I24,K24)-0.03*B24-0.14)</f>
        <v>17.196581191606718</v>
      </c>
    </row>
    <row r="25" spans="1:15" x14ac:dyDescent="0.25">
      <c r="A25" s="4" t="s">
        <v>14</v>
      </c>
      <c r="B25" s="4">
        <v>55</v>
      </c>
      <c r="C25" s="4" t="s">
        <v>6</v>
      </c>
      <c r="D25" s="111">
        <v>8.3382966700000001</v>
      </c>
      <c r="E25" s="111">
        <v>9.1117669939999999</v>
      </c>
      <c r="F25" s="111">
        <v>28.975556009999998</v>
      </c>
      <c r="G25" s="111">
        <v>30.800205989999998</v>
      </c>
      <c r="H25" s="43">
        <f>D25/2.20462</f>
        <v>3.7821922462828064</v>
      </c>
      <c r="I25" s="43">
        <f t="shared" si="14"/>
        <v>4.1330329009080931</v>
      </c>
      <c r="J25" s="43">
        <f t="shared" si="14"/>
        <v>13.143106753091237</v>
      </c>
      <c r="K25" s="43">
        <f t="shared" si="14"/>
        <v>13.970755046221118</v>
      </c>
      <c r="L25" s="117">
        <f t="shared" ref="L25:L28" si="15">1.18*(SUM(H25,J25)-0.03*B25-0.14)</f>
        <v>17.859652819261367</v>
      </c>
      <c r="M25" s="118">
        <f t="shared" ref="M25:M28" si="16">1.18*(SUM(I25,K25)-0.03*B25-0.14)</f>
        <v>19.25026977761247</v>
      </c>
    </row>
    <row r="26" spans="1:15" x14ac:dyDescent="0.25">
      <c r="A26" s="4" t="s">
        <v>19</v>
      </c>
      <c r="B26" s="4">
        <v>53</v>
      </c>
      <c r="C26" s="4" t="s">
        <v>6</v>
      </c>
      <c r="D26" s="111">
        <v>10.95370086</v>
      </c>
      <c r="E26" s="111">
        <v>11.40304379</v>
      </c>
      <c r="F26" s="111">
        <v>31.993187840000001</v>
      </c>
      <c r="G26" s="111">
        <v>32.155949980000003</v>
      </c>
      <c r="H26" s="43">
        <f t="shared" ref="H26:H38" si="17">D26/2.20462</f>
        <v>4.9685210421750687</v>
      </c>
      <c r="I26" s="43">
        <f t="shared" si="14"/>
        <v>5.1723398091281041</v>
      </c>
      <c r="J26" s="43">
        <f t="shared" si="14"/>
        <v>14.511883154466531</v>
      </c>
      <c r="K26" s="43">
        <f t="shared" si="14"/>
        <v>14.585710907095104</v>
      </c>
      <c r="L26" s="117">
        <f t="shared" si="15"/>
        <v>20.945476952037087</v>
      </c>
      <c r="M26" s="118">
        <f t="shared" si="16"/>
        <v>21.273099845143385</v>
      </c>
    </row>
    <row r="27" spans="1:15" x14ac:dyDescent="0.25">
      <c r="A27" s="4" t="s">
        <v>22</v>
      </c>
      <c r="B27" s="4">
        <v>55</v>
      </c>
      <c r="C27" s="4" t="s">
        <v>6</v>
      </c>
      <c r="D27" s="111">
        <v>14.141790930000001</v>
      </c>
      <c r="E27" s="111">
        <v>14.37973349</v>
      </c>
      <c r="F27" s="111">
        <v>37.047018999999999</v>
      </c>
      <c r="G27" s="111">
        <v>37.435674329999998</v>
      </c>
      <c r="H27" s="43">
        <f t="shared" si="17"/>
        <v>6.4146160925692417</v>
      </c>
      <c r="I27" s="43">
        <f t="shared" si="14"/>
        <v>6.5225451506382059</v>
      </c>
      <c r="J27" s="43">
        <f t="shared" si="14"/>
        <v>16.804265134127423</v>
      </c>
      <c r="K27" s="43">
        <f t="shared" si="14"/>
        <v>16.980556436029794</v>
      </c>
      <c r="L27" s="117">
        <f t="shared" si="15"/>
        <v>25.286079847502066</v>
      </c>
      <c r="M27" s="118">
        <f t="shared" si="16"/>
        <v>25.62145987226824</v>
      </c>
    </row>
    <row r="28" spans="1:15" x14ac:dyDescent="0.25">
      <c r="A28" s="4" t="s">
        <v>26</v>
      </c>
      <c r="B28" s="4">
        <v>54</v>
      </c>
      <c r="C28" s="4" t="s">
        <v>6</v>
      </c>
      <c r="D28" s="111">
        <v>9.0243677790000003</v>
      </c>
      <c r="E28" s="111">
        <v>8.410890964</v>
      </c>
      <c r="F28" s="111">
        <v>30.596493410000001</v>
      </c>
      <c r="G28" s="111">
        <v>28.890664600000001</v>
      </c>
      <c r="H28" s="43">
        <f t="shared" si="17"/>
        <v>4.0933892366938522</v>
      </c>
      <c r="I28" s="43">
        <f t="shared" si="14"/>
        <v>3.8151205033066926</v>
      </c>
      <c r="J28" s="43">
        <f t="shared" si="14"/>
        <v>13.878352464370279</v>
      </c>
      <c r="K28" s="43">
        <f t="shared" si="14"/>
        <v>13.104600611443244</v>
      </c>
      <c r="L28" s="117">
        <f t="shared" si="15"/>
        <v>19.129855207255673</v>
      </c>
      <c r="M28" s="118">
        <f t="shared" si="16"/>
        <v>17.888470915404923</v>
      </c>
    </row>
    <row r="29" spans="1:15" x14ac:dyDescent="0.25">
      <c r="A29" s="21" t="s">
        <v>42</v>
      </c>
      <c r="B29" s="21">
        <v>59</v>
      </c>
      <c r="C29" s="21" t="s">
        <v>6</v>
      </c>
      <c r="D29" s="114" t="s">
        <v>152</v>
      </c>
      <c r="E29" s="114"/>
      <c r="F29" s="114"/>
      <c r="G29" s="114"/>
      <c r="H29" s="101"/>
      <c r="I29" s="101"/>
      <c r="J29" s="101"/>
      <c r="K29" s="101"/>
      <c r="L29" s="117"/>
      <c r="M29" s="118"/>
    </row>
    <row r="30" spans="1:15" x14ac:dyDescent="0.25">
      <c r="A30" s="4" t="s">
        <v>28</v>
      </c>
      <c r="B30" s="4">
        <v>70</v>
      </c>
      <c r="C30" s="4" t="s">
        <v>6</v>
      </c>
      <c r="D30" s="111">
        <v>7.5753797570000003</v>
      </c>
      <c r="E30" s="111">
        <v>7.5171584119999997</v>
      </c>
      <c r="F30" s="111">
        <v>23.846888610000001</v>
      </c>
      <c r="G30" s="111">
        <v>24.506491159999999</v>
      </c>
      <c r="H30" s="43">
        <f t="shared" si="17"/>
        <v>3.4361385440574796</v>
      </c>
      <c r="I30" s="43">
        <f t="shared" si="14"/>
        <v>3.4097297547876733</v>
      </c>
      <c r="J30" s="43">
        <f t="shared" si="14"/>
        <v>10.816779585597519</v>
      </c>
      <c r="K30" s="43">
        <f t="shared" si="14"/>
        <v>11.115970625323186</v>
      </c>
      <c r="L30" s="117">
        <f t="shared" ref="L30:L38" si="18">1.18*(SUM(H30,J30)-0.03*B30-0.14)</f>
        <v>14.175243392992897</v>
      </c>
      <c r="M30" s="118">
        <f t="shared" ref="M30:M38" si="19">1.18*(SUM(I30,K30)-0.03*B30-0.14)</f>
        <v>14.497126448530812</v>
      </c>
    </row>
    <row r="31" spans="1:15" x14ac:dyDescent="0.25">
      <c r="A31" s="4" t="s">
        <v>150</v>
      </c>
      <c r="B31" s="4">
        <v>60</v>
      </c>
      <c r="C31" s="4" t="s">
        <v>6</v>
      </c>
      <c r="D31" s="111">
        <v>8.3763130330000006</v>
      </c>
      <c r="E31" s="111">
        <v>8.8202069499999993</v>
      </c>
      <c r="F31" s="111">
        <v>27.533603920000001</v>
      </c>
      <c r="G31" s="111">
        <v>28.74869898</v>
      </c>
      <c r="H31" s="43">
        <f t="shared" ref="H31" si="20">D31/2.20462</f>
        <v>3.7994361989821384</v>
      </c>
      <c r="I31" s="43">
        <f t="shared" ref="I31" si="21">E31/2.20462</f>
        <v>4.00078333227495</v>
      </c>
      <c r="J31" s="43">
        <f t="shared" ref="J31" si="22">F31/2.20462</f>
        <v>12.489047509321336</v>
      </c>
      <c r="K31" s="43">
        <f t="shared" ref="K31" si="23">G31/2.20462</f>
        <v>13.040206012827609</v>
      </c>
      <c r="L31" s="117">
        <f t="shared" si="18"/>
        <v>16.931210775798096</v>
      </c>
      <c r="M31" s="118">
        <f t="shared" si="19"/>
        <v>17.819167427221018</v>
      </c>
    </row>
    <row r="32" spans="1:15" x14ac:dyDescent="0.25">
      <c r="A32" s="4" t="s">
        <v>3</v>
      </c>
      <c r="B32" s="4">
        <v>45</v>
      </c>
      <c r="C32" s="4" t="s">
        <v>4</v>
      </c>
      <c r="D32" s="112" t="s">
        <v>330</v>
      </c>
      <c r="E32" s="112"/>
      <c r="F32" s="112"/>
      <c r="G32" s="112"/>
      <c r="H32" s="112"/>
      <c r="I32" s="112"/>
      <c r="J32" s="112"/>
      <c r="K32" s="112"/>
      <c r="L32" s="117"/>
      <c r="M32" s="118"/>
    </row>
    <row r="33" spans="1:13" x14ac:dyDescent="0.25">
      <c r="A33" s="4" t="s">
        <v>9</v>
      </c>
      <c r="B33" s="4">
        <v>56</v>
      </c>
      <c r="C33" s="4" t="s">
        <v>4</v>
      </c>
      <c r="D33" s="111">
        <v>20.194259160000001</v>
      </c>
      <c r="E33" s="111">
        <v>20.653799060000001</v>
      </c>
      <c r="F33" s="111">
        <v>45.201694430000003</v>
      </c>
      <c r="G33" s="111">
        <v>48.598586140000002</v>
      </c>
      <c r="H33" s="43">
        <f t="shared" si="17"/>
        <v>9.1599727662817187</v>
      </c>
      <c r="I33" s="43">
        <f t="shared" si="14"/>
        <v>9.3684168065244808</v>
      </c>
      <c r="J33" s="43">
        <f t="shared" si="14"/>
        <v>20.503168087924454</v>
      </c>
      <c r="K33" s="43">
        <f t="shared" si="14"/>
        <v>22.043974081701158</v>
      </c>
      <c r="L33" s="117">
        <f t="shared" si="18"/>
        <v>32.854906207963282</v>
      </c>
      <c r="M33" s="118">
        <f t="shared" si="19"/>
        <v>34.919021248106247</v>
      </c>
    </row>
    <row r="34" spans="1:13" x14ac:dyDescent="0.25">
      <c r="A34" s="4" t="s">
        <v>11</v>
      </c>
      <c r="B34" s="4">
        <v>53</v>
      </c>
      <c r="C34" s="4" t="s">
        <v>4</v>
      </c>
      <c r="D34" s="113">
        <v>24.1</v>
      </c>
      <c r="E34" s="113">
        <v>23.1</v>
      </c>
      <c r="F34" s="113">
        <v>54.7</v>
      </c>
      <c r="G34" s="113">
        <v>55.6</v>
      </c>
      <c r="H34" s="43">
        <f t="shared" si="17"/>
        <v>10.931589117398918</v>
      </c>
      <c r="I34" s="43">
        <f t="shared" si="14"/>
        <v>10.47799620796328</v>
      </c>
      <c r="J34" s="43">
        <f t="shared" si="14"/>
        <v>24.811532146129494</v>
      </c>
      <c r="K34" s="43">
        <f t="shared" si="14"/>
        <v>25.21976576462157</v>
      </c>
      <c r="L34" s="117">
        <f t="shared" si="18"/>
        <v>40.135483090963518</v>
      </c>
      <c r="M34" s="118">
        <f t="shared" si="19"/>
        <v>40.081959127650123</v>
      </c>
    </row>
    <row r="35" spans="1:13" x14ac:dyDescent="0.25">
      <c r="A35" s="4" t="s">
        <v>12</v>
      </c>
      <c r="B35" s="4">
        <v>46</v>
      </c>
      <c r="C35" s="4" t="s">
        <v>4</v>
      </c>
      <c r="D35" s="111">
        <v>19.099715310000001</v>
      </c>
      <c r="E35" s="111">
        <v>18.933085439999999</v>
      </c>
      <c r="F35" s="111">
        <v>49.03961529</v>
      </c>
      <c r="G35" s="111">
        <v>48.061432400000001</v>
      </c>
      <c r="H35" s="43">
        <f t="shared" si="17"/>
        <v>8.6634954368553316</v>
      </c>
      <c r="I35" s="43">
        <f t="shared" si="14"/>
        <v>8.5879133093231488</v>
      </c>
      <c r="J35" s="43">
        <f t="shared" si="14"/>
        <v>22.244021776995584</v>
      </c>
      <c r="K35" s="43">
        <f t="shared" si="14"/>
        <v>21.800324953960324</v>
      </c>
      <c r="L35" s="117">
        <f t="shared" si="18"/>
        <v>34.677270312344078</v>
      </c>
      <c r="M35" s="118">
        <f t="shared" si="19"/>
        <v>34.064521150674494</v>
      </c>
    </row>
    <row r="36" spans="1:13" x14ac:dyDescent="0.25">
      <c r="A36" s="4" t="s">
        <v>23</v>
      </c>
      <c r="B36" s="4">
        <v>60</v>
      </c>
      <c r="C36" s="4" t="s">
        <v>4</v>
      </c>
      <c r="D36" s="111">
        <v>13.68440283</v>
      </c>
      <c r="E36" s="111">
        <v>13.93513982</v>
      </c>
      <c r="F36" s="111">
        <v>32.158490360000002</v>
      </c>
      <c r="G36" s="111">
        <v>33.435612050000003</v>
      </c>
      <c r="H36" s="43">
        <f t="shared" si="17"/>
        <v>6.2071480935490024</v>
      </c>
      <c r="I36" s="43">
        <f t="shared" si="14"/>
        <v>6.3208806143462368</v>
      </c>
      <c r="J36" s="43">
        <f t="shared" si="14"/>
        <v>14.586863205450374</v>
      </c>
      <c r="K36" s="43">
        <f t="shared" si="14"/>
        <v>15.166156548520837</v>
      </c>
      <c r="L36" s="117">
        <f t="shared" si="18"/>
        <v>22.247733332819262</v>
      </c>
      <c r="M36" s="118">
        <f t="shared" si="19"/>
        <v>23.065503852183145</v>
      </c>
    </row>
    <row r="37" spans="1:13" x14ac:dyDescent="0.25">
      <c r="A37" s="4" t="s">
        <v>27</v>
      </c>
      <c r="B37" s="4">
        <v>63</v>
      </c>
      <c r="C37" s="4" t="s">
        <v>4</v>
      </c>
      <c r="D37" s="111">
        <v>17.565717670000002</v>
      </c>
      <c r="E37" s="111">
        <v>18.413417840000001</v>
      </c>
      <c r="F37" s="111">
        <v>44.053659119999999</v>
      </c>
      <c r="G37" s="111">
        <v>45.343533260000001</v>
      </c>
      <c r="H37" s="43">
        <f t="shared" si="17"/>
        <v>7.9676849842603277</v>
      </c>
      <c r="I37" s="43">
        <f t="shared" si="14"/>
        <v>8.3521957706997139</v>
      </c>
      <c r="J37" s="43">
        <f t="shared" si="14"/>
        <v>19.982427411526704</v>
      </c>
      <c r="K37" s="43">
        <f t="shared" si="14"/>
        <v>20.5675051754951</v>
      </c>
      <c r="L37" s="117">
        <f t="shared" si="18"/>
        <v>30.585732627028694</v>
      </c>
      <c r="M37" s="118">
        <f t="shared" si="19"/>
        <v>31.72984711650988</v>
      </c>
    </row>
    <row r="38" spans="1:13" x14ac:dyDescent="0.25">
      <c r="A38" s="4" t="s">
        <v>29</v>
      </c>
      <c r="B38" s="4">
        <v>60</v>
      </c>
      <c r="C38" s="4" t="s">
        <v>4</v>
      </c>
      <c r="D38" s="111">
        <v>13.368573749999999</v>
      </c>
      <c r="E38" s="111">
        <v>14.388346650000001</v>
      </c>
      <c r="F38" s="111">
        <v>33.185676379999997</v>
      </c>
      <c r="G38" s="111">
        <v>33.704260830000003</v>
      </c>
      <c r="H38" s="43">
        <f t="shared" si="17"/>
        <v>6.0638902622674209</v>
      </c>
      <c r="I38" s="43">
        <f t="shared" si="14"/>
        <v>6.5264520189420407</v>
      </c>
      <c r="J38" s="43">
        <f t="shared" si="14"/>
        <v>15.052787500793787</v>
      </c>
      <c r="K38" s="43">
        <f t="shared" si="14"/>
        <v>15.28801373025737</v>
      </c>
      <c r="L38" s="117">
        <f t="shared" si="18"/>
        <v>22.628479760412223</v>
      </c>
      <c r="M38" s="118">
        <f t="shared" si="19"/>
        <v>23.451869584055302</v>
      </c>
    </row>
    <row r="39" spans="1:13" x14ac:dyDescent="0.25">
      <c r="A39" s="3" t="s">
        <v>33</v>
      </c>
      <c r="B39" s="8">
        <f>AVERAGE(B24:B38)</f>
        <v>56</v>
      </c>
      <c r="C39" s="8"/>
      <c r="D39" s="8"/>
      <c r="E39" s="8"/>
      <c r="F39" s="8"/>
      <c r="G39" s="8"/>
      <c r="H39" s="8">
        <f t="shared" ref="H39:K39" si="24">AVERAGE(H24:H38)</f>
        <v>6.0733736152331854</v>
      </c>
      <c r="I39" s="8">
        <f t="shared" si="24"/>
        <v>6.1907049279729351</v>
      </c>
      <c r="J39" s="8">
        <f t="shared" si="24"/>
        <v>16.191845708976189</v>
      </c>
      <c r="K39" s="8">
        <f t="shared" si="24"/>
        <v>16.56424276152946</v>
      </c>
      <c r="L39" s="119">
        <f t="shared" ref="L39:M39" si="25">AVERAGE(L24:L38)</f>
        <v>24.103574187182446</v>
      </c>
      <c r="M39" s="120">
        <f t="shared" si="25"/>
        <v>24.681453658228211</v>
      </c>
    </row>
    <row r="40" spans="1:13" x14ac:dyDescent="0.25">
      <c r="A40" s="3" t="s">
        <v>34</v>
      </c>
      <c r="B40" s="8">
        <f>STDEV(B24:B38)</f>
        <v>6.3919592346277412</v>
      </c>
      <c r="C40" s="8"/>
      <c r="D40" s="8"/>
      <c r="E40" s="8"/>
      <c r="F40" s="8"/>
      <c r="G40" s="8"/>
      <c r="H40" s="8">
        <f t="shared" ref="H40:K40" si="26">STDEV(H24:H38)</f>
        <v>2.4643594386896401</v>
      </c>
      <c r="I40" s="8">
        <f t="shared" si="26"/>
        <v>2.3863530266083233</v>
      </c>
      <c r="J40" s="8">
        <f t="shared" si="26"/>
        <v>4.365136197370675</v>
      </c>
      <c r="K40" s="8">
        <f t="shared" si="26"/>
        <v>4.4137193017221117</v>
      </c>
      <c r="L40" s="119">
        <f t="shared" ref="L40:M40" si="27">STDEV(L24:L38)</f>
        <v>8.0913220746033243</v>
      </c>
      <c r="M40" s="120">
        <f t="shared" si="27"/>
        <v>8.0560846813225897</v>
      </c>
    </row>
    <row r="41" spans="1:13" x14ac:dyDescent="0.25">
      <c r="A41" s="3" t="s">
        <v>39</v>
      </c>
      <c r="B41" s="7">
        <f>TTEST(B3:B17,B24:B38,2,2)</f>
        <v>0.71363485428568296</v>
      </c>
      <c r="C41" s="7"/>
      <c r="D41" s="7"/>
      <c r="E41" s="7"/>
      <c r="F41" s="7"/>
      <c r="G41" s="7"/>
      <c r="H41" s="7">
        <f t="shared" ref="H41:K41" si="28">TTEST(H3:H17,H24:H38,2,2)</f>
        <v>0.87377104708290521</v>
      </c>
      <c r="I41" s="7">
        <f t="shared" si="28"/>
        <v>0.92451503479147945</v>
      </c>
      <c r="J41" s="7">
        <f t="shared" si="28"/>
        <v>0.31860596736927244</v>
      </c>
      <c r="K41" s="7">
        <f t="shared" si="28"/>
        <v>0.32135609413894101</v>
      </c>
      <c r="L41" s="126">
        <f>TTEST(L3:L17,L24:L38,2,2)</f>
        <v>0.56754862462438882</v>
      </c>
      <c r="M41" s="127">
        <f t="shared" ref="M41" si="29">TTEST(M3:M17,M24:M38,2,2)</f>
        <v>0.54578628091150971</v>
      </c>
    </row>
    <row r="42" spans="1:13" ht="15.75" thickBot="1" x14ac:dyDescent="0.3">
      <c r="A42" s="3" t="s">
        <v>160</v>
      </c>
      <c r="E42" s="40"/>
      <c r="G42" s="40"/>
      <c r="I42" s="100">
        <f>TTEST(H24:H38,I24:I38,2,1)</f>
        <v>0.13832835910508148</v>
      </c>
      <c r="K42" s="100">
        <f>TTEST(J24:J38,K24:K38,2,1)</f>
        <v>3.8228828733333345E-2</v>
      </c>
      <c r="L42" s="128"/>
      <c r="M42" s="129">
        <f>TTEST(L24:L38,M24:M38,2,1)</f>
        <v>3.5189248214768432E-2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CCF3-CFF4-4A8C-B0F9-CFEDADAD7B6C}">
  <dimension ref="A1:O46"/>
  <sheetViews>
    <sheetView zoomScale="70" zoomScaleNormal="70" workbookViewId="0">
      <selection activeCell="D2" sqref="D2:E42"/>
    </sheetView>
  </sheetViews>
  <sheetFormatPr defaultRowHeight="15" x14ac:dyDescent="0.25"/>
  <cols>
    <col min="1" max="1" width="15.5703125" customWidth="1"/>
    <col min="2" max="2" width="14" customWidth="1"/>
    <col min="3" max="3" width="12.5703125" customWidth="1"/>
    <col min="4" max="5" width="21.42578125" customWidth="1"/>
    <col min="6" max="6" width="25.85546875" customWidth="1"/>
    <col min="7" max="7" width="25.7109375" customWidth="1"/>
    <col min="9" max="9" width="12.85546875" customWidth="1"/>
    <col min="10" max="10" width="9.5703125" bestFit="1" customWidth="1"/>
    <col min="11" max="11" width="18.42578125" customWidth="1"/>
    <col min="12" max="12" width="14.85546875" bestFit="1" customWidth="1"/>
    <col min="13" max="13" width="16.7109375" bestFit="1" customWidth="1"/>
    <col min="14" max="14" width="14.85546875" bestFit="1" customWidth="1"/>
    <col min="15" max="15" width="16.7109375" bestFit="1" customWidth="1"/>
  </cols>
  <sheetData>
    <row r="1" spans="1:15" x14ac:dyDescent="0.25">
      <c r="A1" s="4" t="s">
        <v>43</v>
      </c>
      <c r="B1" s="4"/>
      <c r="C1" s="4"/>
      <c r="D1" t="s">
        <v>278</v>
      </c>
      <c r="I1" t="s">
        <v>163</v>
      </c>
    </row>
    <row r="2" spans="1:15" x14ac:dyDescent="0.25">
      <c r="A2" s="3" t="s">
        <v>0</v>
      </c>
      <c r="B2" s="3" t="s">
        <v>1</v>
      </c>
      <c r="C2" s="3" t="s">
        <v>2</v>
      </c>
      <c r="D2" s="3" t="s">
        <v>274</v>
      </c>
      <c r="E2" s="3" t="s">
        <v>275</v>
      </c>
      <c r="F2" s="3" t="s">
        <v>276</v>
      </c>
      <c r="G2" s="3" t="s">
        <v>277</v>
      </c>
      <c r="I2" s="3" t="s">
        <v>0</v>
      </c>
      <c r="J2" t="s">
        <v>279</v>
      </c>
      <c r="K2" t="s">
        <v>280</v>
      </c>
      <c r="L2" t="s">
        <v>281</v>
      </c>
      <c r="M2" t="s">
        <v>282</v>
      </c>
      <c r="N2" t="s">
        <v>283</v>
      </c>
      <c r="O2" t="s">
        <v>284</v>
      </c>
    </row>
    <row r="3" spans="1:15" x14ac:dyDescent="0.25">
      <c r="A3" s="4" t="s">
        <v>10</v>
      </c>
      <c r="B3" s="4">
        <v>59</v>
      </c>
      <c r="C3" s="4" t="s">
        <v>6</v>
      </c>
      <c r="D3" s="25">
        <v>18.53</v>
      </c>
      <c r="E3" s="25">
        <v>23.15</v>
      </c>
      <c r="F3" s="25"/>
      <c r="G3" s="25"/>
      <c r="I3" t="s">
        <v>3</v>
      </c>
      <c r="J3" s="91">
        <v>2.98</v>
      </c>
      <c r="K3" s="91">
        <v>3.28</v>
      </c>
      <c r="L3" s="91">
        <v>32.64</v>
      </c>
      <c r="M3" s="91">
        <v>36.86</v>
      </c>
      <c r="N3" s="91">
        <v>8.42</v>
      </c>
      <c r="O3" s="91">
        <v>9.4499999999999993</v>
      </c>
    </row>
    <row r="4" spans="1:15" x14ac:dyDescent="0.25">
      <c r="A4" s="4" t="s">
        <v>18</v>
      </c>
      <c r="B4" s="4">
        <v>48</v>
      </c>
      <c r="C4" s="4" t="s">
        <v>6</v>
      </c>
      <c r="D4" s="25">
        <v>22.27</v>
      </c>
      <c r="E4" s="25">
        <v>22.22</v>
      </c>
      <c r="F4" s="25">
        <v>10.85</v>
      </c>
      <c r="G4" s="25">
        <v>10.029999999999999</v>
      </c>
      <c r="I4" t="s">
        <v>5</v>
      </c>
      <c r="J4" s="91">
        <v>2.21</v>
      </c>
      <c r="K4" s="91">
        <v>2.3199999999999998</v>
      </c>
      <c r="L4" s="91">
        <v>16.45</v>
      </c>
      <c r="M4" s="91">
        <v>18.25</v>
      </c>
      <c r="N4" s="91">
        <v>4.78</v>
      </c>
      <c r="O4" s="91">
        <v>4.92</v>
      </c>
    </row>
    <row r="5" spans="1:15" x14ac:dyDescent="0.25">
      <c r="A5" s="21" t="s">
        <v>20</v>
      </c>
      <c r="B5" s="21">
        <v>44</v>
      </c>
      <c r="C5" s="21" t="s">
        <v>6</v>
      </c>
      <c r="D5" s="92"/>
      <c r="E5" s="92"/>
      <c r="F5" s="92"/>
      <c r="G5" s="92"/>
      <c r="I5" t="s">
        <v>7</v>
      </c>
      <c r="J5" s="91">
        <v>1.85</v>
      </c>
      <c r="K5" s="91">
        <v>2.21</v>
      </c>
      <c r="L5" s="91">
        <v>21.91</v>
      </c>
      <c r="M5" s="91">
        <v>26.13</v>
      </c>
      <c r="N5" s="91">
        <v>7.7</v>
      </c>
      <c r="O5" s="91">
        <v>8.66</v>
      </c>
    </row>
    <row r="6" spans="1:15" x14ac:dyDescent="0.25">
      <c r="A6" s="4" t="s">
        <v>21</v>
      </c>
      <c r="B6" s="4">
        <v>63</v>
      </c>
      <c r="C6" s="4" t="s">
        <v>6</v>
      </c>
      <c r="D6" s="97"/>
      <c r="E6" s="25"/>
      <c r="F6" s="25"/>
      <c r="G6" s="25"/>
      <c r="I6" t="s">
        <v>8</v>
      </c>
      <c r="J6" s="91">
        <v>1.88</v>
      </c>
      <c r="K6" s="91">
        <v>2.11</v>
      </c>
      <c r="L6" s="91">
        <v>19.690000000000001</v>
      </c>
      <c r="M6" s="91">
        <v>23.96</v>
      </c>
      <c r="N6" s="91">
        <v>3.7</v>
      </c>
      <c r="O6" s="91">
        <v>5.08</v>
      </c>
    </row>
    <row r="7" spans="1:15" x14ac:dyDescent="0.25">
      <c r="A7" s="4" t="s">
        <v>24</v>
      </c>
      <c r="B7" s="4">
        <v>54</v>
      </c>
      <c r="C7" s="4" t="s">
        <v>6</v>
      </c>
      <c r="D7" s="25">
        <v>14.76</v>
      </c>
      <c r="E7" s="25">
        <v>16.920000000000002</v>
      </c>
      <c r="F7" s="25">
        <v>3.76</v>
      </c>
      <c r="G7" s="25">
        <v>4.1500000000000004</v>
      </c>
      <c r="I7" t="s">
        <v>9</v>
      </c>
      <c r="J7" s="91">
        <v>1.51</v>
      </c>
      <c r="K7" s="91">
        <v>1.79</v>
      </c>
      <c r="L7" s="91">
        <v>14</v>
      </c>
      <c r="M7" s="91">
        <v>17.89</v>
      </c>
      <c r="N7" s="91">
        <v>5.7</v>
      </c>
      <c r="O7" s="91">
        <v>6.92</v>
      </c>
    </row>
    <row r="8" spans="1:15" x14ac:dyDescent="0.25">
      <c r="A8" s="4" t="s">
        <v>25</v>
      </c>
      <c r="B8" s="4">
        <v>52</v>
      </c>
      <c r="C8" s="4" t="s">
        <v>6</v>
      </c>
      <c r="D8" s="25">
        <v>17.11</v>
      </c>
      <c r="E8" s="25">
        <v>18.32</v>
      </c>
      <c r="F8" s="25">
        <v>5.27</v>
      </c>
      <c r="G8" s="25">
        <v>6.46</v>
      </c>
      <c r="I8" t="s">
        <v>10</v>
      </c>
      <c r="J8" s="91">
        <v>2.33</v>
      </c>
      <c r="K8" s="91">
        <v>2.63</v>
      </c>
      <c r="L8" s="91">
        <v>18.53</v>
      </c>
      <c r="M8" s="91">
        <v>23.15</v>
      </c>
      <c r="N8" s="91">
        <v>5.03</v>
      </c>
      <c r="O8" s="91">
        <v>6.6</v>
      </c>
    </row>
    <row r="9" spans="1:15" x14ac:dyDescent="0.25">
      <c r="A9" s="4" t="s">
        <v>31</v>
      </c>
      <c r="B9" s="4">
        <v>57</v>
      </c>
      <c r="C9" s="4" t="s">
        <v>6</v>
      </c>
      <c r="D9" s="25">
        <v>10.79</v>
      </c>
      <c r="E9" s="25">
        <v>14.35</v>
      </c>
      <c r="F9" s="25">
        <v>3.26</v>
      </c>
      <c r="G9" s="25">
        <v>4</v>
      </c>
      <c r="I9" t="s">
        <v>11</v>
      </c>
      <c r="J9" s="91">
        <v>1.89</v>
      </c>
      <c r="K9" s="91">
        <v>2.02</v>
      </c>
      <c r="L9" s="91">
        <v>17.75</v>
      </c>
      <c r="M9" s="91">
        <v>21.53</v>
      </c>
      <c r="N9" s="91">
        <v>8.01</v>
      </c>
      <c r="O9" s="91">
        <v>7.88</v>
      </c>
    </row>
    <row r="10" spans="1:15" x14ac:dyDescent="0.25">
      <c r="A10" s="4" t="s">
        <v>32</v>
      </c>
      <c r="B10" s="4">
        <v>61</v>
      </c>
      <c r="C10" s="4" t="s">
        <v>6</v>
      </c>
      <c r="D10" s="25">
        <v>15.71</v>
      </c>
      <c r="E10" s="25">
        <v>16.96</v>
      </c>
      <c r="F10" s="25">
        <v>2.5099999999999998</v>
      </c>
      <c r="G10" s="25">
        <v>2.57</v>
      </c>
      <c r="I10" t="s">
        <v>12</v>
      </c>
      <c r="J10" s="91">
        <v>1.93</v>
      </c>
      <c r="K10" s="91">
        <v>2.04</v>
      </c>
      <c r="L10" s="91">
        <v>19.440000000000001</v>
      </c>
      <c r="M10" s="91">
        <v>19.95</v>
      </c>
      <c r="N10" s="91">
        <v>5.5</v>
      </c>
      <c r="O10" s="91">
        <v>4.43</v>
      </c>
    </row>
    <row r="11" spans="1:15" x14ac:dyDescent="0.25">
      <c r="A11" s="4" t="s">
        <v>7</v>
      </c>
      <c r="B11" s="4">
        <v>42</v>
      </c>
      <c r="C11" s="4" t="s">
        <v>4</v>
      </c>
      <c r="D11" s="25">
        <v>21.91</v>
      </c>
      <c r="E11" s="25">
        <v>26.13</v>
      </c>
      <c r="F11" s="25">
        <v>7.7</v>
      </c>
      <c r="G11" s="25">
        <v>8.66</v>
      </c>
      <c r="I11" t="s">
        <v>13</v>
      </c>
      <c r="J11" s="91">
        <v>2.67</v>
      </c>
      <c r="K11" s="91">
        <v>2.71</v>
      </c>
      <c r="L11" s="91">
        <v>25.95</v>
      </c>
      <c r="M11" s="91">
        <v>27.73</v>
      </c>
      <c r="N11" s="91">
        <v>8.35</v>
      </c>
      <c r="O11" s="91">
        <v>10.49</v>
      </c>
    </row>
    <row r="12" spans="1:15" x14ac:dyDescent="0.25">
      <c r="A12" s="4" t="s">
        <v>8</v>
      </c>
      <c r="B12" s="4">
        <v>55</v>
      </c>
      <c r="C12" s="4" t="s">
        <v>4</v>
      </c>
      <c r="D12" s="25">
        <v>19.690000000000001</v>
      </c>
      <c r="E12" s="25">
        <v>23.96</v>
      </c>
      <c r="F12" s="25">
        <v>3.7</v>
      </c>
      <c r="G12" s="25">
        <v>5.08</v>
      </c>
      <c r="I12" t="s">
        <v>14</v>
      </c>
      <c r="J12" s="91">
        <v>1.78</v>
      </c>
      <c r="K12" s="91">
        <v>2.06</v>
      </c>
      <c r="L12" s="91">
        <v>13.54</v>
      </c>
      <c r="M12" s="91">
        <v>15.87</v>
      </c>
      <c r="N12" s="91">
        <v>5.62</v>
      </c>
      <c r="O12" s="91">
        <v>6.56</v>
      </c>
    </row>
    <row r="13" spans="1:15" x14ac:dyDescent="0.25">
      <c r="A13" s="4" t="s">
        <v>13</v>
      </c>
      <c r="B13" s="4">
        <v>44</v>
      </c>
      <c r="C13" s="4" t="s">
        <v>4</v>
      </c>
      <c r="D13" s="25">
        <v>25.95</v>
      </c>
      <c r="E13" s="25">
        <v>27.73</v>
      </c>
      <c r="F13" s="25">
        <v>8.35</v>
      </c>
      <c r="G13" s="25">
        <v>10.49</v>
      </c>
      <c r="I13" t="s">
        <v>16</v>
      </c>
      <c r="J13" s="91">
        <v>2.12</v>
      </c>
      <c r="K13" s="91">
        <v>2.23</v>
      </c>
      <c r="L13" s="91">
        <v>19.87</v>
      </c>
      <c r="M13" s="91">
        <v>20.63</v>
      </c>
      <c r="N13" s="91">
        <v>6.32</v>
      </c>
      <c r="O13" s="91">
        <v>7.44</v>
      </c>
    </row>
    <row r="14" spans="1:15" x14ac:dyDescent="0.25">
      <c r="A14" s="4" t="s">
        <v>16</v>
      </c>
      <c r="B14" s="4">
        <v>64</v>
      </c>
      <c r="C14" s="4" t="s">
        <v>4</v>
      </c>
      <c r="D14" s="25">
        <v>19.87</v>
      </c>
      <c r="E14" s="25">
        <v>20.63</v>
      </c>
      <c r="F14" s="25">
        <v>6.32</v>
      </c>
      <c r="G14" s="25">
        <v>7.44</v>
      </c>
      <c r="I14" t="s">
        <v>17</v>
      </c>
      <c r="J14" s="91">
        <v>2.5299999999999998</v>
      </c>
      <c r="K14" s="91">
        <v>2.85</v>
      </c>
      <c r="L14" s="91">
        <v>22.87</v>
      </c>
      <c r="M14" s="91">
        <v>28.82</v>
      </c>
      <c r="N14" s="91">
        <v>4.9800000000000004</v>
      </c>
      <c r="O14" s="91">
        <v>5.86</v>
      </c>
    </row>
    <row r="15" spans="1:15" x14ac:dyDescent="0.25">
      <c r="A15" s="4" t="s">
        <v>17</v>
      </c>
      <c r="B15" s="4">
        <v>69</v>
      </c>
      <c r="C15" s="4" t="s">
        <v>4</v>
      </c>
      <c r="D15" s="25">
        <v>22.87</v>
      </c>
      <c r="E15" s="25">
        <v>28.82</v>
      </c>
      <c r="F15" s="25">
        <v>4.9800000000000004</v>
      </c>
      <c r="G15" s="25">
        <v>5.86</v>
      </c>
      <c r="I15" t="s">
        <v>18</v>
      </c>
      <c r="J15" s="91">
        <v>2.58</v>
      </c>
      <c r="K15" s="91">
        <v>2.61</v>
      </c>
      <c r="L15" s="91">
        <v>22.27</v>
      </c>
      <c r="M15" s="91">
        <v>22.22</v>
      </c>
      <c r="N15" s="91">
        <v>10.85</v>
      </c>
      <c r="O15" s="91">
        <v>10.029999999999999</v>
      </c>
    </row>
    <row r="16" spans="1:15" x14ac:dyDescent="0.25">
      <c r="A16" s="4" t="s">
        <v>30</v>
      </c>
      <c r="B16" s="4">
        <v>50</v>
      </c>
      <c r="C16" s="4" t="s">
        <v>4</v>
      </c>
      <c r="D16" s="25">
        <v>27.41</v>
      </c>
      <c r="E16" s="25">
        <v>29.21</v>
      </c>
      <c r="F16" s="25">
        <v>5.13</v>
      </c>
      <c r="G16" s="25">
        <v>5.42</v>
      </c>
      <c r="I16" t="s">
        <v>19</v>
      </c>
      <c r="J16" s="91">
        <v>2.14</v>
      </c>
      <c r="K16" s="91">
        <v>2.1800000000000002</v>
      </c>
      <c r="L16" s="91">
        <v>17.68</v>
      </c>
      <c r="M16" s="91">
        <v>17.239999999999998</v>
      </c>
      <c r="N16" s="91">
        <v>8.17</v>
      </c>
      <c r="O16" s="91">
        <v>9.07</v>
      </c>
    </row>
    <row r="17" spans="1:15" x14ac:dyDescent="0.25">
      <c r="A17" s="4" t="s">
        <v>149</v>
      </c>
      <c r="B17" s="4">
        <v>63</v>
      </c>
      <c r="C17" s="4" t="s">
        <v>4</v>
      </c>
      <c r="D17" s="25">
        <v>14.03</v>
      </c>
      <c r="E17" s="25">
        <v>15.01</v>
      </c>
      <c r="F17" s="25">
        <v>4.79</v>
      </c>
      <c r="G17" s="25">
        <v>4.91</v>
      </c>
      <c r="I17" t="s">
        <v>22</v>
      </c>
      <c r="J17" s="91">
        <v>2.25</v>
      </c>
      <c r="K17" s="91">
        <v>2.34</v>
      </c>
      <c r="L17" s="91">
        <v>18.84</v>
      </c>
      <c r="M17" s="91">
        <v>22.48</v>
      </c>
      <c r="N17" s="91">
        <v>8.1199999999999992</v>
      </c>
      <c r="O17" s="91">
        <v>9.18</v>
      </c>
    </row>
    <row r="18" spans="1:15" x14ac:dyDescent="0.25">
      <c r="A18" s="3" t="s">
        <v>33</v>
      </c>
      <c r="B18" s="8">
        <f>AVERAGE(B3:B17)</f>
        <v>55</v>
      </c>
      <c r="C18" s="8"/>
      <c r="D18" s="8">
        <f t="shared" ref="D18:G18" si="0">AVERAGE(D3:D17)</f>
        <v>19.299999999999997</v>
      </c>
      <c r="E18" s="8">
        <f t="shared" si="0"/>
        <v>21.800769230769227</v>
      </c>
      <c r="F18" s="8">
        <f t="shared" si="0"/>
        <v>5.5516666666666667</v>
      </c>
      <c r="G18" s="8">
        <f t="shared" si="0"/>
        <v>6.2558333333333342</v>
      </c>
      <c r="I18" t="s">
        <v>285</v>
      </c>
      <c r="J18" s="91">
        <v>1.57</v>
      </c>
      <c r="K18" s="91">
        <v>1.81</v>
      </c>
      <c r="L18" s="91">
        <v>14.9</v>
      </c>
      <c r="M18" s="91">
        <v>19.239999999999998</v>
      </c>
      <c r="N18" s="91">
        <v>5.61</v>
      </c>
      <c r="O18" s="91">
        <v>6.65</v>
      </c>
    </row>
    <row r="19" spans="1:15" x14ac:dyDescent="0.25">
      <c r="A19" s="3" t="s">
        <v>34</v>
      </c>
      <c r="B19" s="8">
        <f>STDEV(B3:B17)</f>
        <v>8.2635170651311842</v>
      </c>
      <c r="C19" s="8"/>
      <c r="D19" s="8">
        <f t="shared" ref="D19:G19" si="1">STDEV(D3:D17)</f>
        <v>4.8125807352535297</v>
      </c>
      <c r="E19" s="8">
        <f t="shared" si="1"/>
        <v>5.2208930614383</v>
      </c>
      <c r="F19" s="8">
        <f t="shared" si="1"/>
        <v>2.4010408096692077</v>
      </c>
      <c r="G19" s="8">
        <f t="shared" si="1"/>
        <v>2.4597540835447655</v>
      </c>
      <c r="I19" t="s">
        <v>24</v>
      </c>
      <c r="J19" s="91">
        <v>1.75</v>
      </c>
      <c r="K19" s="91">
        <v>2.0299999999999998</v>
      </c>
      <c r="L19" s="91">
        <v>14.76</v>
      </c>
      <c r="M19" s="91">
        <v>16.920000000000002</v>
      </c>
      <c r="N19" s="91">
        <v>3.76</v>
      </c>
      <c r="O19" s="91">
        <v>4.1500000000000004</v>
      </c>
    </row>
    <row r="20" spans="1:15" x14ac:dyDescent="0.25">
      <c r="A20" s="3" t="s">
        <v>160</v>
      </c>
      <c r="D20" s="1"/>
      <c r="E20" s="93">
        <f>TTEST(D2:D16,E2:E16,2,1)</f>
        <v>4.4049224206062432E-4</v>
      </c>
      <c r="F20" s="1"/>
      <c r="G20" s="93">
        <f>TTEST(F2:F16,G2:G16,2,1)</f>
        <v>8.8416863831608274E-3</v>
      </c>
      <c r="I20" t="s">
        <v>286</v>
      </c>
      <c r="J20" s="91">
        <v>2.19</v>
      </c>
      <c r="K20" s="91">
        <v>2.2999999999999998</v>
      </c>
      <c r="L20" s="91">
        <v>17.11</v>
      </c>
      <c r="M20" s="91">
        <v>18.32</v>
      </c>
      <c r="N20" s="91">
        <v>5.27</v>
      </c>
      <c r="O20" s="91">
        <v>6.46</v>
      </c>
    </row>
    <row r="21" spans="1:15" x14ac:dyDescent="0.25">
      <c r="B21" s="4"/>
      <c r="C21" s="4"/>
      <c r="D21" s="1"/>
      <c r="E21" s="1"/>
      <c r="F21" s="1"/>
      <c r="G21" s="1"/>
      <c r="I21" t="s">
        <v>26</v>
      </c>
      <c r="J21" s="91">
        <v>2.15</v>
      </c>
      <c r="K21" s="91">
        <v>2.17</v>
      </c>
      <c r="L21" s="91">
        <v>18.54</v>
      </c>
      <c r="M21" s="91">
        <v>18.61</v>
      </c>
      <c r="N21" s="91">
        <v>5.36</v>
      </c>
      <c r="O21" s="91">
        <v>4.21</v>
      </c>
    </row>
    <row r="22" spans="1:15" x14ac:dyDescent="0.25">
      <c r="A22" s="4" t="s">
        <v>44</v>
      </c>
      <c r="D22" s="1"/>
      <c r="E22" s="1"/>
      <c r="F22" s="1"/>
      <c r="G22" s="1"/>
      <c r="I22" t="s">
        <v>27</v>
      </c>
      <c r="J22" s="91">
        <v>2.35</v>
      </c>
      <c r="K22" s="91">
        <v>2.82</v>
      </c>
      <c r="L22" s="91">
        <v>21.64</v>
      </c>
      <c r="M22" s="91">
        <v>24.25</v>
      </c>
      <c r="N22" s="91">
        <v>6.24</v>
      </c>
      <c r="O22" s="91">
        <v>7.6</v>
      </c>
    </row>
    <row r="23" spans="1:15" x14ac:dyDescent="0.25">
      <c r="A23" s="3" t="s">
        <v>0</v>
      </c>
      <c r="B23" s="3" t="s">
        <v>1</v>
      </c>
      <c r="C23" s="3" t="s">
        <v>2</v>
      </c>
      <c r="D23" s="3" t="s">
        <v>274</v>
      </c>
      <c r="E23" s="3" t="s">
        <v>275</v>
      </c>
      <c r="F23" s="3" t="s">
        <v>276</v>
      </c>
      <c r="G23" s="3" t="s">
        <v>277</v>
      </c>
      <c r="I23" t="s">
        <v>29</v>
      </c>
      <c r="J23" s="91">
        <v>1.25</v>
      </c>
      <c r="K23" s="91">
        <v>1.5</v>
      </c>
      <c r="L23" s="91">
        <v>9.99</v>
      </c>
      <c r="M23" s="91">
        <v>12.49</v>
      </c>
      <c r="N23" s="91">
        <v>3.82</v>
      </c>
      <c r="O23" s="91">
        <v>5</v>
      </c>
    </row>
    <row r="24" spans="1:15" x14ac:dyDescent="0.25">
      <c r="A24" s="4" t="s">
        <v>5</v>
      </c>
      <c r="B24" s="4">
        <v>51</v>
      </c>
      <c r="C24" s="4" t="s">
        <v>6</v>
      </c>
      <c r="D24" s="25">
        <v>16.45</v>
      </c>
      <c r="E24" s="25">
        <v>18.25</v>
      </c>
      <c r="F24" s="25">
        <v>4.78</v>
      </c>
      <c r="G24" s="25">
        <v>4.92</v>
      </c>
      <c r="I24" t="s">
        <v>28</v>
      </c>
      <c r="J24" s="91">
        <v>1.0900000000000001</v>
      </c>
      <c r="K24" s="91">
        <v>1.36</v>
      </c>
      <c r="L24" s="91">
        <v>9.9700000000000006</v>
      </c>
      <c r="M24" s="91">
        <v>10.97</v>
      </c>
      <c r="N24" s="91">
        <v>2.94</v>
      </c>
      <c r="O24" s="91">
        <v>3.46</v>
      </c>
    </row>
    <row r="25" spans="1:15" x14ac:dyDescent="0.25">
      <c r="A25" s="4" t="s">
        <v>14</v>
      </c>
      <c r="B25" s="4">
        <v>55</v>
      </c>
      <c r="C25" s="4" t="s">
        <v>6</v>
      </c>
      <c r="D25" s="25">
        <v>13.54</v>
      </c>
      <c r="E25" s="25">
        <v>15.87</v>
      </c>
      <c r="F25" s="25">
        <v>5.62</v>
      </c>
      <c r="G25" s="25">
        <v>6.56</v>
      </c>
      <c r="I25" t="s">
        <v>30</v>
      </c>
      <c r="J25" s="91">
        <v>2.5</v>
      </c>
      <c r="K25" s="91">
        <v>2.4500000000000002</v>
      </c>
      <c r="L25" s="91">
        <v>27.41</v>
      </c>
      <c r="M25" s="91">
        <v>29.21</v>
      </c>
      <c r="N25" s="91">
        <v>5.13</v>
      </c>
      <c r="O25" s="91">
        <v>5.42</v>
      </c>
    </row>
    <row r="26" spans="1:15" x14ac:dyDescent="0.25">
      <c r="A26" s="4" t="s">
        <v>19</v>
      </c>
      <c r="B26" s="4">
        <v>53</v>
      </c>
      <c r="C26" s="4" t="s">
        <v>6</v>
      </c>
      <c r="D26" s="25">
        <v>17.68</v>
      </c>
      <c r="E26" s="25">
        <v>17.239999999999998</v>
      </c>
      <c r="F26" s="25">
        <v>8.17</v>
      </c>
      <c r="G26" s="25">
        <v>9.07</v>
      </c>
      <c r="I26" t="s">
        <v>31</v>
      </c>
      <c r="J26" s="91">
        <v>1.52</v>
      </c>
      <c r="K26" s="91">
        <v>2.02</v>
      </c>
      <c r="L26" s="91">
        <v>10.79</v>
      </c>
      <c r="M26" s="91">
        <v>14.35</v>
      </c>
      <c r="N26" s="91">
        <v>3.26</v>
      </c>
      <c r="O26" s="91">
        <v>4</v>
      </c>
    </row>
    <row r="27" spans="1:15" x14ac:dyDescent="0.25">
      <c r="A27" s="4" t="s">
        <v>22</v>
      </c>
      <c r="B27" s="4">
        <v>55</v>
      </c>
      <c r="C27" s="4" t="s">
        <v>6</v>
      </c>
      <c r="D27" s="25">
        <v>18.84</v>
      </c>
      <c r="E27" s="25">
        <v>22.48</v>
      </c>
      <c r="F27" s="25">
        <v>8.1199999999999992</v>
      </c>
      <c r="G27" s="25">
        <v>9.18</v>
      </c>
      <c r="I27" t="s">
        <v>32</v>
      </c>
      <c r="J27" s="91">
        <v>2.21</v>
      </c>
      <c r="K27" s="91">
        <v>2.23</v>
      </c>
      <c r="L27" s="91">
        <v>15.71</v>
      </c>
      <c r="M27" s="91">
        <v>16.96</v>
      </c>
      <c r="N27" s="91">
        <v>2.5099999999999998</v>
      </c>
      <c r="O27" s="91">
        <v>2.57</v>
      </c>
    </row>
    <row r="28" spans="1:15" x14ac:dyDescent="0.25">
      <c r="A28" s="4" t="s">
        <v>26</v>
      </c>
      <c r="B28" s="4">
        <v>54</v>
      </c>
      <c r="C28" s="4" t="s">
        <v>6</v>
      </c>
      <c r="D28" s="25">
        <v>18.54</v>
      </c>
      <c r="E28" s="25">
        <v>18.61</v>
      </c>
      <c r="F28" s="25">
        <v>5.36</v>
      </c>
      <c r="G28" s="25">
        <v>4.21</v>
      </c>
      <c r="I28" t="s">
        <v>149</v>
      </c>
      <c r="J28" s="91">
        <v>1.53</v>
      </c>
      <c r="K28" s="91">
        <v>1.74</v>
      </c>
      <c r="L28" s="91">
        <v>14.03</v>
      </c>
      <c r="M28" s="91">
        <v>15.01</v>
      </c>
      <c r="N28" s="91">
        <v>4.79</v>
      </c>
      <c r="O28" s="91">
        <v>4.91</v>
      </c>
    </row>
    <row r="29" spans="1:15" x14ac:dyDescent="0.25">
      <c r="A29" s="21" t="s">
        <v>42</v>
      </c>
      <c r="B29" s="21">
        <v>59</v>
      </c>
      <c r="C29" s="21" t="s">
        <v>6</v>
      </c>
      <c r="D29" s="92"/>
      <c r="E29" s="92"/>
      <c r="F29" s="92"/>
      <c r="G29" s="92"/>
      <c r="I29" t="s">
        <v>150</v>
      </c>
      <c r="J29" s="91">
        <v>1.95</v>
      </c>
      <c r="K29" s="91">
        <v>2.15</v>
      </c>
      <c r="L29" s="91">
        <v>11.01</v>
      </c>
      <c r="M29" s="91">
        <v>12.91</v>
      </c>
      <c r="N29" s="91">
        <v>3.52</v>
      </c>
      <c r="O29" s="91">
        <v>3.97</v>
      </c>
    </row>
    <row r="30" spans="1:15" x14ac:dyDescent="0.25">
      <c r="A30" s="4" t="s">
        <v>28</v>
      </c>
      <c r="B30" s="4">
        <v>70</v>
      </c>
      <c r="C30" s="4" t="s">
        <v>6</v>
      </c>
      <c r="D30" s="25">
        <v>9.9700000000000006</v>
      </c>
      <c r="E30" s="25">
        <v>10.97</v>
      </c>
      <c r="F30" s="25">
        <v>2.94</v>
      </c>
      <c r="G30" s="25">
        <v>3.46</v>
      </c>
      <c r="I30" s="3" t="s">
        <v>33</v>
      </c>
      <c r="J30" s="94">
        <f>AVERAGE(J15:J29)</f>
        <v>1.9353333333333333</v>
      </c>
      <c r="K30" s="94">
        <f t="shared" ref="K30:O30" si="2">AVERAGE(K15:K29)</f>
        <v>2.1139999999999994</v>
      </c>
      <c r="L30" s="94">
        <f t="shared" si="2"/>
        <v>16.309999999999999</v>
      </c>
      <c r="M30" s="94">
        <f t="shared" si="2"/>
        <v>18.078666666666667</v>
      </c>
      <c r="N30" s="94">
        <f t="shared" si="2"/>
        <v>5.2900000000000009</v>
      </c>
      <c r="O30" s="94">
        <f t="shared" si="2"/>
        <v>5.7786666666666662</v>
      </c>
    </row>
    <row r="31" spans="1:15" x14ac:dyDescent="0.25">
      <c r="A31" s="4" t="s">
        <v>150</v>
      </c>
      <c r="B31" s="4">
        <v>60</v>
      </c>
      <c r="C31" s="4" t="s">
        <v>6</v>
      </c>
      <c r="D31" s="25">
        <v>11.01</v>
      </c>
      <c r="E31" s="25">
        <v>12.91</v>
      </c>
      <c r="F31" s="25">
        <v>3.52</v>
      </c>
      <c r="G31" s="25">
        <v>3.97</v>
      </c>
      <c r="I31" s="3" t="s">
        <v>34</v>
      </c>
      <c r="J31" s="94">
        <f>STDEV(J15:J29)</f>
        <v>0.45691303746941081</v>
      </c>
      <c r="K31" s="94">
        <f t="shared" ref="K31:O31" si="3">STDEV(K15:K29)</f>
        <v>0.39269762995392543</v>
      </c>
      <c r="L31" s="94">
        <f t="shared" si="3"/>
        <v>4.9977037584417481</v>
      </c>
      <c r="M31" s="94">
        <f t="shared" si="3"/>
        <v>4.8938881221765724</v>
      </c>
      <c r="N31" s="94">
        <f t="shared" si="3"/>
        <v>2.2914312433187098</v>
      </c>
      <c r="O31" s="94">
        <f t="shared" si="3"/>
        <v>2.2948073889503164</v>
      </c>
    </row>
    <row r="32" spans="1:15" x14ac:dyDescent="0.25">
      <c r="A32" s="4" t="s">
        <v>3</v>
      </c>
      <c r="B32" s="4">
        <v>45</v>
      </c>
      <c r="C32" s="4" t="s">
        <v>4</v>
      </c>
      <c r="D32" s="25">
        <v>32.64</v>
      </c>
      <c r="E32" s="25">
        <v>36.86</v>
      </c>
      <c r="F32" s="25">
        <v>8.42</v>
      </c>
      <c r="G32" s="25">
        <v>9.4499999999999993</v>
      </c>
      <c r="I32" s="45" t="s">
        <v>39</v>
      </c>
      <c r="J32" s="95"/>
      <c r="K32" s="96">
        <f>TTEST(K3:K29,J3:J29,2,1)</f>
        <v>1.1235853991189022E-7</v>
      </c>
      <c r="L32" s="95"/>
      <c r="M32" s="96">
        <f>TTEST(M3:M29,L3:L29,2,1)</f>
        <v>6.4110775901387953E-8</v>
      </c>
      <c r="N32" s="95"/>
      <c r="O32" s="96">
        <f>TTEST(O3:O29,N3:N29,2,1)</f>
        <v>2.2326167098054588E-4</v>
      </c>
    </row>
    <row r="33" spans="1:13" x14ac:dyDescent="0.25">
      <c r="A33" s="4" t="s">
        <v>9</v>
      </c>
      <c r="B33" s="4">
        <v>56</v>
      </c>
      <c r="C33" s="4" t="s">
        <v>4</v>
      </c>
      <c r="D33" s="25">
        <v>14</v>
      </c>
      <c r="E33" s="25">
        <v>17.89</v>
      </c>
      <c r="F33" s="25">
        <v>5.7</v>
      </c>
      <c r="G33" s="25">
        <v>6.92</v>
      </c>
      <c r="M33" s="91">
        <f>(M30-L30)*100/L30</f>
        <v>10.844062947067249</v>
      </c>
    </row>
    <row r="34" spans="1:13" x14ac:dyDescent="0.25">
      <c r="A34" s="4" t="s">
        <v>11</v>
      </c>
      <c r="B34" s="4">
        <v>53</v>
      </c>
      <c r="C34" s="4" t="s">
        <v>4</v>
      </c>
      <c r="D34" s="25">
        <v>17.75</v>
      </c>
      <c r="E34" s="25">
        <v>21.53</v>
      </c>
      <c r="F34" s="25">
        <v>8.01</v>
      </c>
      <c r="G34" s="25">
        <v>7.88</v>
      </c>
    </row>
    <row r="35" spans="1:13" x14ac:dyDescent="0.25">
      <c r="A35" s="4" t="s">
        <v>12</v>
      </c>
      <c r="B35" s="4">
        <v>46</v>
      </c>
      <c r="C35" s="4" t="s">
        <v>4</v>
      </c>
      <c r="D35" s="25">
        <v>19.440000000000001</v>
      </c>
      <c r="E35" s="25">
        <v>19.95</v>
      </c>
      <c r="F35" s="25">
        <v>5.5</v>
      </c>
      <c r="G35" s="25">
        <v>4.43</v>
      </c>
    </row>
    <row r="36" spans="1:13" x14ac:dyDescent="0.25">
      <c r="A36" s="4" t="s">
        <v>23</v>
      </c>
      <c r="B36" s="4">
        <v>60</v>
      </c>
      <c r="C36" s="4" t="s">
        <v>4</v>
      </c>
      <c r="D36" s="25">
        <v>14.9</v>
      </c>
      <c r="E36" s="25">
        <v>19.239999999999998</v>
      </c>
      <c r="F36" s="25">
        <v>5.61</v>
      </c>
      <c r="G36" s="25">
        <v>6.65</v>
      </c>
      <c r="K36">
        <f>K30/J30</f>
        <v>1.0923182914226659</v>
      </c>
      <c r="M36">
        <f>M30/L30</f>
        <v>1.1084406294706726</v>
      </c>
    </row>
    <row r="37" spans="1:13" x14ac:dyDescent="0.25">
      <c r="A37" s="4" t="s">
        <v>27</v>
      </c>
      <c r="B37" s="4">
        <v>63</v>
      </c>
      <c r="C37" s="4" t="s">
        <v>4</v>
      </c>
      <c r="D37" s="25">
        <v>21.64</v>
      </c>
      <c r="E37" s="25">
        <v>24.25</v>
      </c>
      <c r="F37" s="25">
        <v>6.24</v>
      </c>
      <c r="G37" s="25">
        <v>7.6</v>
      </c>
    </row>
    <row r="38" spans="1:13" x14ac:dyDescent="0.25">
      <c r="A38" s="4" t="s">
        <v>29</v>
      </c>
      <c r="B38" s="4">
        <v>60</v>
      </c>
      <c r="C38" s="4" t="s">
        <v>4</v>
      </c>
      <c r="D38" s="25">
        <v>9.99</v>
      </c>
      <c r="E38" s="25">
        <v>12.49</v>
      </c>
      <c r="F38" s="25">
        <v>3.82</v>
      </c>
      <c r="G38" s="25">
        <v>5</v>
      </c>
    </row>
    <row r="39" spans="1:13" x14ac:dyDescent="0.25">
      <c r="A39" s="3" t="s">
        <v>33</v>
      </c>
      <c r="B39" s="8">
        <f>AVERAGE(B24:B38)</f>
        <v>56</v>
      </c>
      <c r="C39" s="8"/>
      <c r="D39" s="8">
        <f t="shared" ref="D39:G39" si="4">AVERAGE(D24:D38)</f>
        <v>16.885000000000002</v>
      </c>
      <c r="E39" s="8">
        <f t="shared" si="4"/>
        <v>19.181428571428569</v>
      </c>
      <c r="F39" s="8">
        <f t="shared" si="4"/>
        <v>5.843571428571428</v>
      </c>
      <c r="G39" s="8">
        <f t="shared" si="4"/>
        <v>6.3785714285714272</v>
      </c>
    </row>
    <row r="40" spans="1:13" x14ac:dyDescent="0.25">
      <c r="A40" s="3" t="s">
        <v>34</v>
      </c>
      <c r="B40" s="8">
        <f>STDEV(B24:B38)</f>
        <v>6.3919592346277412</v>
      </c>
      <c r="C40" s="8"/>
      <c r="D40" s="8">
        <f t="shared" ref="D40:G40" si="5">STDEV(D24:D38)</f>
        <v>5.8099050038572955</v>
      </c>
      <c r="E40" s="8">
        <f t="shared" si="5"/>
        <v>6.3509113302954283</v>
      </c>
      <c r="F40" s="8">
        <f t="shared" si="5"/>
        <v>1.7891923710600124</v>
      </c>
      <c r="G40" s="8">
        <f t="shared" si="5"/>
        <v>2.0665499198975508</v>
      </c>
    </row>
    <row r="41" spans="1:13" x14ac:dyDescent="0.25">
      <c r="A41" s="3" t="s">
        <v>39</v>
      </c>
      <c r="B41" s="7">
        <f>TTEST(B3:B17,B24:B38,2,2)</f>
        <v>0.71363485428568296</v>
      </c>
      <c r="C41" s="7"/>
      <c r="D41" s="7">
        <f t="shared" ref="D41:G41" si="6">TTEST(D3:D17,D24:D38,2,2)</f>
        <v>0.2526381909474063</v>
      </c>
      <c r="E41" s="7">
        <f t="shared" si="6"/>
        <v>0.25489381338972789</v>
      </c>
      <c r="F41" s="7">
        <f t="shared" si="6"/>
        <v>0.72591495196522193</v>
      </c>
      <c r="G41" s="7">
        <f t="shared" si="6"/>
        <v>0.89112682344111782</v>
      </c>
    </row>
    <row r="42" spans="1:13" x14ac:dyDescent="0.25">
      <c r="A42" s="3" t="s">
        <v>160</v>
      </c>
      <c r="D42" s="1"/>
      <c r="E42" s="93">
        <f>TTEST(D24:D38,E24:E38,2,1)</f>
        <v>1.1074152170358207E-4</v>
      </c>
      <c r="F42" s="1"/>
      <c r="G42" s="93">
        <f>TTEST(F24:F38,G24:G38,2,1)</f>
        <v>2.9067484866595824E-2</v>
      </c>
    </row>
    <row r="43" spans="1:13" x14ac:dyDescent="0.25">
      <c r="D43" s="1"/>
      <c r="E43" s="1"/>
      <c r="F43" s="1"/>
      <c r="G43" s="1"/>
    </row>
    <row r="44" spans="1:13" x14ac:dyDescent="0.25">
      <c r="D44" s="1"/>
      <c r="E44" s="1"/>
      <c r="F44" s="1"/>
      <c r="G44" s="1"/>
    </row>
    <row r="45" spans="1:13" x14ac:dyDescent="0.25">
      <c r="D45" s="1"/>
      <c r="E45" s="1"/>
      <c r="F45" s="1"/>
      <c r="G45" s="1"/>
    </row>
    <row r="46" spans="1:13" x14ac:dyDescent="0.25">
      <c r="D46" s="1"/>
      <c r="E46" s="1"/>
      <c r="F46" s="1"/>
      <c r="G46"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DCFF-A625-4347-9CEB-01038287D99D}">
  <dimension ref="A1:U43"/>
  <sheetViews>
    <sheetView zoomScale="70" zoomScaleNormal="70" workbookViewId="0">
      <selection activeCell="D42" sqref="D42"/>
    </sheetView>
  </sheetViews>
  <sheetFormatPr defaultRowHeight="15" x14ac:dyDescent="0.25"/>
  <cols>
    <col min="1" max="1" width="14.28515625" style="38" bestFit="1" customWidth="1"/>
    <col min="2" max="2" width="12" style="38" customWidth="1"/>
    <col min="3" max="3" width="6.85546875" style="38" customWidth="1"/>
    <col min="4" max="4" width="19.5703125" style="38" customWidth="1"/>
    <col min="5" max="8" width="21.7109375" style="38" customWidth="1"/>
    <col min="9" max="10" width="20.7109375" style="38" bestFit="1" customWidth="1"/>
    <col min="11" max="11" width="21.7109375" style="38" bestFit="1" customWidth="1"/>
    <col min="12" max="12" width="17.140625" style="38" bestFit="1" customWidth="1"/>
    <col min="13" max="13" width="3.28515625" style="38" customWidth="1"/>
    <col min="14" max="14" width="12" style="38" customWidth="1"/>
    <col min="15" max="15" width="11.140625" style="38" customWidth="1"/>
    <col min="16" max="17" width="20.7109375" style="4" bestFit="1" customWidth="1"/>
    <col min="18" max="18" width="20.7109375" style="4" customWidth="1"/>
    <col min="19" max="19" width="21.7109375" style="4" bestFit="1" customWidth="1"/>
    <col min="20" max="20" width="19" style="4" customWidth="1"/>
    <col min="21" max="21" width="27.28515625" style="4" bestFit="1" customWidth="1"/>
    <col min="22" max="22" width="16.140625" style="38" customWidth="1"/>
    <col min="23" max="16384" width="9.140625" style="38"/>
  </cols>
  <sheetData>
    <row r="1" spans="1:21" x14ac:dyDescent="0.25">
      <c r="A1" s="4" t="s">
        <v>43</v>
      </c>
      <c r="B1" s="4"/>
      <c r="C1" s="4"/>
      <c r="D1" s="4"/>
      <c r="E1" s="37" t="s">
        <v>161</v>
      </c>
      <c r="F1" s="37"/>
      <c r="G1" s="37"/>
      <c r="H1" s="37"/>
      <c r="I1" s="38" t="s">
        <v>169</v>
      </c>
      <c r="P1" s="4" t="s">
        <v>169</v>
      </c>
    </row>
    <row r="2" spans="1:21" x14ac:dyDescent="0.25">
      <c r="A2" s="3" t="s">
        <v>0</v>
      </c>
      <c r="B2" s="3" t="s">
        <v>1</v>
      </c>
      <c r="C2" s="3" t="s">
        <v>2</v>
      </c>
      <c r="D2" s="3" t="s">
        <v>167</v>
      </c>
      <c r="E2" s="28" t="s">
        <v>165</v>
      </c>
      <c r="F2" s="28" t="s">
        <v>166</v>
      </c>
      <c r="G2" s="28" t="s">
        <v>168</v>
      </c>
      <c r="H2" s="28" t="s">
        <v>164</v>
      </c>
      <c r="I2" s="3" t="s">
        <v>165</v>
      </c>
      <c r="J2" s="3" t="s">
        <v>166</v>
      </c>
      <c r="K2" s="3" t="s">
        <v>168</v>
      </c>
      <c r="L2" s="3" t="s">
        <v>164</v>
      </c>
      <c r="N2" s="3" t="s">
        <v>0</v>
      </c>
      <c r="O2" s="3" t="s">
        <v>1</v>
      </c>
      <c r="P2" s="3" t="s">
        <v>165</v>
      </c>
      <c r="Q2" s="3" t="s">
        <v>166</v>
      </c>
      <c r="R2" s="3" t="s">
        <v>170</v>
      </c>
      <c r="S2" s="3" t="s">
        <v>168</v>
      </c>
      <c r="T2" s="3" t="s">
        <v>164</v>
      </c>
      <c r="U2" s="3" t="s">
        <v>172</v>
      </c>
    </row>
    <row r="3" spans="1:21" x14ac:dyDescent="0.25">
      <c r="A3" s="4" t="s">
        <v>10</v>
      </c>
      <c r="B3" s="4">
        <v>59</v>
      </c>
      <c r="C3" s="4" t="s">
        <v>6</v>
      </c>
      <c r="D3" s="4">
        <v>0</v>
      </c>
      <c r="E3" s="30">
        <v>4395</v>
      </c>
      <c r="F3" s="30">
        <v>9490</v>
      </c>
      <c r="G3" s="30">
        <v>160180</v>
      </c>
      <c r="H3" s="30">
        <v>205018</v>
      </c>
      <c r="I3" s="42">
        <f>E3/2.20462</f>
        <v>1993.5408369696368</v>
      </c>
      <c r="J3" s="42">
        <f t="shared" ref="J3:L3" si="0">F3/2.20462</f>
        <v>4304.5967105442214</v>
      </c>
      <c r="K3" s="42">
        <f t="shared" si="0"/>
        <v>72656.512233400776</v>
      </c>
      <c r="L3" s="42">
        <f t="shared" si="0"/>
        <v>92994.711106675983</v>
      </c>
      <c r="N3" s="4" t="s">
        <v>10</v>
      </c>
      <c r="O3" s="4">
        <v>59</v>
      </c>
      <c r="P3" s="44">
        <v>1993.5408369696368</v>
      </c>
      <c r="Q3" s="44">
        <v>4304.5967105442214</v>
      </c>
      <c r="R3" s="44">
        <f>Q3-P3</f>
        <v>2311.0558735745844</v>
      </c>
      <c r="S3" s="44">
        <v>72656.512233400776</v>
      </c>
      <c r="T3" s="44">
        <v>92994.711106675983</v>
      </c>
      <c r="U3" s="43">
        <v>-0.22679645471782095</v>
      </c>
    </row>
    <row r="4" spans="1:21" x14ac:dyDescent="0.25">
      <c r="A4" s="4" t="s">
        <v>18</v>
      </c>
      <c r="B4" s="4">
        <v>48</v>
      </c>
      <c r="C4" s="4" t="s">
        <v>6</v>
      </c>
      <c r="D4" s="4">
        <v>0</v>
      </c>
      <c r="E4" s="30">
        <v>6975</v>
      </c>
      <c r="F4" s="30">
        <v>12650</v>
      </c>
      <c r="G4" s="30">
        <v>247645</v>
      </c>
      <c r="H4" s="30">
        <v>315269</v>
      </c>
      <c r="I4" s="42">
        <f t="shared" ref="I4:I17" si="1">E4/2.20462</f>
        <v>3163.810543313587</v>
      </c>
      <c r="J4" s="42">
        <f t="shared" ref="J4:J17" si="2">F4/2.20462</f>
        <v>5737.9503043608429</v>
      </c>
      <c r="K4" s="42">
        <f t="shared" ref="K4:K17" si="3">G4/2.20462</f>
        <v>112330.016057189</v>
      </c>
      <c r="L4" s="42">
        <f t="shared" ref="L4:L17" si="4">H4/2.20462</f>
        <v>143003.78296486472</v>
      </c>
      <c r="N4" s="4" t="s">
        <v>18</v>
      </c>
      <c r="O4" s="4">
        <v>48</v>
      </c>
      <c r="P4" s="44">
        <v>3163.810543313587</v>
      </c>
      <c r="Q4" s="44">
        <v>5737.9503043608429</v>
      </c>
      <c r="R4" s="44">
        <f t="shared" ref="R4:R32" si="5">Q4-P4</f>
        <v>2574.1397610472559</v>
      </c>
      <c r="S4" s="44">
        <v>112330.016057189</v>
      </c>
      <c r="T4" s="44">
        <v>143003.78296486472</v>
      </c>
      <c r="U4" s="43">
        <v>-4.5359290943565611E-2</v>
      </c>
    </row>
    <row r="5" spans="1:21" x14ac:dyDescent="0.25">
      <c r="A5" s="21" t="s">
        <v>20</v>
      </c>
      <c r="B5" s="21">
        <v>44</v>
      </c>
      <c r="C5" s="21" t="s">
        <v>6</v>
      </c>
      <c r="D5" s="21"/>
      <c r="E5" s="21"/>
      <c r="F5" s="21"/>
      <c r="G5" s="21"/>
      <c r="H5" s="21"/>
      <c r="I5" s="21"/>
      <c r="J5" s="21"/>
      <c r="K5" s="21"/>
      <c r="L5" s="21"/>
      <c r="N5" s="21" t="s">
        <v>20</v>
      </c>
      <c r="O5" s="21">
        <v>44</v>
      </c>
      <c r="P5" s="21"/>
      <c r="Q5" s="21"/>
      <c r="R5" s="21"/>
      <c r="S5" s="21"/>
      <c r="T5" s="21"/>
      <c r="U5" s="21"/>
    </row>
    <row r="6" spans="1:21" x14ac:dyDescent="0.25">
      <c r="A6" s="4" t="s">
        <v>21</v>
      </c>
      <c r="B6" s="4">
        <v>63</v>
      </c>
      <c r="C6" s="4" t="s">
        <v>6</v>
      </c>
      <c r="D6" s="4">
        <v>3</v>
      </c>
      <c r="E6" s="41">
        <v>8175</v>
      </c>
      <c r="F6" s="30">
        <v>11150</v>
      </c>
      <c r="G6" s="30">
        <v>234045</v>
      </c>
      <c r="H6" s="30">
        <v>293960</v>
      </c>
      <c r="I6" s="42">
        <f t="shared" si="1"/>
        <v>3708.1220346363548</v>
      </c>
      <c r="J6" s="42">
        <f t="shared" si="2"/>
        <v>5057.5609402073833</v>
      </c>
      <c r="K6" s="42">
        <f t="shared" si="3"/>
        <v>106161.1524888643</v>
      </c>
      <c r="L6" s="42">
        <f t="shared" si="4"/>
        <v>133338.17165770064</v>
      </c>
      <c r="N6" s="4" t="s">
        <v>21</v>
      </c>
      <c r="O6" s="4">
        <v>63</v>
      </c>
      <c r="P6" s="44">
        <v>3708.1220346363548</v>
      </c>
      <c r="Q6" s="44">
        <v>5057.5609402073833</v>
      </c>
      <c r="R6" s="44">
        <f t="shared" si="5"/>
        <v>1349.4389055710285</v>
      </c>
      <c r="S6" s="44">
        <v>106161.1524888643</v>
      </c>
      <c r="T6" s="44">
        <v>133338.17165770064</v>
      </c>
      <c r="U6" s="43">
        <v>0.95254510981484231</v>
      </c>
    </row>
    <row r="7" spans="1:21" x14ac:dyDescent="0.25">
      <c r="A7" s="4" t="s">
        <v>24</v>
      </c>
      <c r="B7" s="4">
        <v>54</v>
      </c>
      <c r="C7" s="4" t="s">
        <v>6</v>
      </c>
      <c r="D7" s="4">
        <v>0</v>
      </c>
      <c r="E7" s="30">
        <v>5385</v>
      </c>
      <c r="F7" s="30">
        <v>13100</v>
      </c>
      <c r="G7" s="30">
        <v>230580</v>
      </c>
      <c r="H7" s="30">
        <v>295542</v>
      </c>
      <c r="I7" s="42">
        <f t="shared" si="1"/>
        <v>2442.5978173109202</v>
      </c>
      <c r="J7" s="42">
        <f t="shared" si="2"/>
        <v>5942.0671136068804</v>
      </c>
      <c r="K7" s="42">
        <f t="shared" si="3"/>
        <v>104589.45305766982</v>
      </c>
      <c r="L7" s="42">
        <f t="shared" si="4"/>
        <v>134055.75564042784</v>
      </c>
      <c r="N7" s="4" t="s">
        <v>24</v>
      </c>
      <c r="O7" s="4">
        <v>54</v>
      </c>
      <c r="P7" s="44">
        <v>2442.5978173109202</v>
      </c>
      <c r="Q7" s="44">
        <v>5942.0671136068804</v>
      </c>
      <c r="R7" s="44">
        <f t="shared" si="5"/>
        <v>3499.4692962959602</v>
      </c>
      <c r="S7" s="44">
        <v>104589.45305766982</v>
      </c>
      <c r="T7" s="44">
        <v>134055.75564042784</v>
      </c>
      <c r="U7" s="43">
        <v>1.4514973101940498</v>
      </c>
    </row>
    <row r="8" spans="1:21" x14ac:dyDescent="0.25">
      <c r="A8" s="4" t="s">
        <v>25</v>
      </c>
      <c r="B8" s="4">
        <v>52</v>
      </c>
      <c r="C8" s="4" t="s">
        <v>6</v>
      </c>
      <c r="D8" s="4">
        <v>0</v>
      </c>
      <c r="E8" s="30">
        <v>4575</v>
      </c>
      <c r="F8" s="30">
        <v>12950</v>
      </c>
      <c r="G8" s="30">
        <v>224225</v>
      </c>
      <c r="H8" s="30">
        <v>283048</v>
      </c>
      <c r="I8" s="42">
        <f t="shared" si="1"/>
        <v>2075.1875606680519</v>
      </c>
      <c r="J8" s="42">
        <f t="shared" si="2"/>
        <v>5874.0281771915343</v>
      </c>
      <c r="K8" s="42">
        <f t="shared" si="3"/>
        <v>101706.87011820632</v>
      </c>
      <c r="L8" s="42">
        <f t="shared" si="4"/>
        <v>128388.56582993896</v>
      </c>
      <c r="N8" s="4" t="s">
        <v>25</v>
      </c>
      <c r="O8" s="4">
        <v>52</v>
      </c>
      <c r="P8" s="44">
        <v>2075.1875606680519</v>
      </c>
      <c r="Q8" s="44">
        <v>5874.0281771915343</v>
      </c>
      <c r="R8" s="44">
        <f t="shared" si="5"/>
        <v>3798.8406165234824</v>
      </c>
      <c r="S8" s="44">
        <v>101706.87011820632</v>
      </c>
      <c r="T8" s="44">
        <v>128388.56582993896</v>
      </c>
      <c r="U8" s="43">
        <v>2.2679645471781953</v>
      </c>
    </row>
    <row r="9" spans="1:21" x14ac:dyDescent="0.25">
      <c r="A9" s="4" t="s">
        <v>31</v>
      </c>
      <c r="B9" s="4">
        <v>57</v>
      </c>
      <c r="C9" s="4" t="s">
        <v>6</v>
      </c>
      <c r="D9" s="4">
        <v>0</v>
      </c>
      <c r="E9" s="30">
        <v>3375</v>
      </c>
      <c r="F9" s="30">
        <v>12250</v>
      </c>
      <c r="G9" s="30">
        <v>202215</v>
      </c>
      <c r="H9" s="30">
        <v>253923</v>
      </c>
      <c r="I9" s="42">
        <f t="shared" si="1"/>
        <v>1530.8760693452841</v>
      </c>
      <c r="J9" s="42">
        <f t="shared" si="2"/>
        <v>5556.5131405865868</v>
      </c>
      <c r="K9" s="42">
        <f t="shared" si="3"/>
        <v>91723.290181527889</v>
      </c>
      <c r="L9" s="42">
        <f t="shared" si="4"/>
        <v>115177.67234262596</v>
      </c>
      <c r="N9" s="4" t="s">
        <v>31</v>
      </c>
      <c r="O9" s="4">
        <v>57</v>
      </c>
      <c r="P9" s="44">
        <v>1530.8760693452841</v>
      </c>
      <c r="Q9" s="44">
        <v>5556.5131405865868</v>
      </c>
      <c r="R9" s="44">
        <f t="shared" si="5"/>
        <v>4025.6370712413027</v>
      </c>
      <c r="S9" s="44">
        <v>91723.290181527889</v>
      </c>
      <c r="T9" s="44">
        <v>115177.67234262596</v>
      </c>
      <c r="U9" s="43">
        <v>1.859730928686119</v>
      </c>
    </row>
    <row r="10" spans="1:21" x14ac:dyDescent="0.25">
      <c r="A10" s="4" t="s">
        <v>32</v>
      </c>
      <c r="B10" s="4">
        <v>61</v>
      </c>
      <c r="C10" s="4" t="s">
        <v>6</v>
      </c>
      <c r="D10" s="4">
        <v>0</v>
      </c>
      <c r="E10" s="30">
        <v>3825</v>
      </c>
      <c r="F10" s="30">
        <v>11750</v>
      </c>
      <c r="G10" s="30">
        <v>206020</v>
      </c>
      <c r="H10" s="30">
        <v>270483</v>
      </c>
      <c r="I10" s="42">
        <f t="shared" si="1"/>
        <v>1734.9928785913221</v>
      </c>
      <c r="J10" s="42">
        <f t="shared" si="2"/>
        <v>5329.7166858687669</v>
      </c>
      <c r="K10" s="42">
        <f t="shared" si="3"/>
        <v>93449.211201930506</v>
      </c>
      <c r="L10" s="42">
        <f t="shared" si="4"/>
        <v>122689.17092288015</v>
      </c>
      <c r="N10" s="4" t="s">
        <v>32</v>
      </c>
      <c r="O10" s="4">
        <v>61</v>
      </c>
      <c r="P10" s="44">
        <v>1734.9928785913221</v>
      </c>
      <c r="Q10" s="44">
        <v>5329.7166858687669</v>
      </c>
      <c r="R10" s="44">
        <f t="shared" si="5"/>
        <v>3594.7238072774448</v>
      </c>
      <c r="S10" s="44">
        <v>93449.211201930506</v>
      </c>
      <c r="T10" s="44">
        <v>122689.17092288015</v>
      </c>
      <c r="U10" s="43">
        <v>-9.0718581887124117E-2</v>
      </c>
    </row>
    <row r="11" spans="1:21" x14ac:dyDescent="0.25">
      <c r="A11" s="4" t="s">
        <v>7</v>
      </c>
      <c r="B11" s="4">
        <v>42</v>
      </c>
      <c r="C11" s="4" t="s">
        <v>4</v>
      </c>
      <c r="D11" s="4">
        <v>0</v>
      </c>
      <c r="E11" s="30">
        <v>12170</v>
      </c>
      <c r="F11" s="30">
        <v>28650</v>
      </c>
      <c r="G11" s="30">
        <v>532160</v>
      </c>
      <c r="H11" s="30">
        <v>659648</v>
      </c>
      <c r="I11" s="42">
        <f t="shared" si="1"/>
        <v>5520.2257078317352</v>
      </c>
      <c r="J11" s="42">
        <f t="shared" si="2"/>
        <v>12995.436855331078</v>
      </c>
      <c r="K11" s="42">
        <f t="shared" si="3"/>
        <v>241384.00268527004</v>
      </c>
      <c r="L11" s="42">
        <f t="shared" si="4"/>
        <v>299211.65552340087</v>
      </c>
      <c r="N11" s="4" t="s">
        <v>7</v>
      </c>
      <c r="O11" s="4">
        <v>42</v>
      </c>
      <c r="P11" s="44">
        <v>5520.2257078317352</v>
      </c>
      <c r="Q11" s="44">
        <v>12995.436855331078</v>
      </c>
      <c r="R11" s="44">
        <f t="shared" si="5"/>
        <v>7475.2111474993426</v>
      </c>
      <c r="S11" s="44">
        <v>241384.00268527004</v>
      </c>
      <c r="T11" s="44">
        <v>299211.65552340087</v>
      </c>
      <c r="U11" s="43">
        <v>0.49895220037920041</v>
      </c>
    </row>
    <row r="12" spans="1:21" x14ac:dyDescent="0.25">
      <c r="A12" s="4" t="s">
        <v>8</v>
      </c>
      <c r="B12" s="4">
        <v>55</v>
      </c>
      <c r="C12" s="4" t="s">
        <v>4</v>
      </c>
      <c r="D12" s="4">
        <v>0</v>
      </c>
      <c r="E12" s="30">
        <v>11775</v>
      </c>
      <c r="F12" s="30">
        <v>19800</v>
      </c>
      <c r="G12" s="30">
        <v>424550</v>
      </c>
      <c r="H12" s="30">
        <v>528295</v>
      </c>
      <c r="I12" s="42">
        <f t="shared" si="1"/>
        <v>5341.0565086046581</v>
      </c>
      <c r="J12" s="42">
        <f t="shared" si="2"/>
        <v>8981.1396068256672</v>
      </c>
      <c r="K12" s="42">
        <f t="shared" si="3"/>
        <v>192572.86970090086</v>
      </c>
      <c r="L12" s="42">
        <f t="shared" si="4"/>
        <v>239630.86609030131</v>
      </c>
      <c r="N12" s="4" t="s">
        <v>8</v>
      </c>
      <c r="O12" s="4">
        <v>55</v>
      </c>
      <c r="P12" s="44">
        <v>5341.0565086046581</v>
      </c>
      <c r="Q12" s="44">
        <v>8981.1396068256672</v>
      </c>
      <c r="R12" s="44">
        <f t="shared" si="5"/>
        <v>3640.0830982210091</v>
      </c>
      <c r="S12" s="44">
        <v>192572.86970090086</v>
      </c>
      <c r="T12" s="44">
        <v>239630.86609030131</v>
      </c>
      <c r="U12" s="43">
        <v>0.90718581887127669</v>
      </c>
    </row>
    <row r="13" spans="1:21" x14ac:dyDescent="0.25">
      <c r="A13" s="4" t="s">
        <v>13</v>
      </c>
      <c r="B13" s="4">
        <v>44</v>
      </c>
      <c r="C13" s="4" t="s">
        <v>4</v>
      </c>
      <c r="D13" s="4">
        <v>0</v>
      </c>
      <c r="E13" s="30">
        <v>17700</v>
      </c>
      <c r="F13" s="30">
        <v>29350</v>
      </c>
      <c r="G13" s="30">
        <v>650895</v>
      </c>
      <c r="H13" s="30">
        <v>816304</v>
      </c>
      <c r="I13" s="42">
        <f t="shared" si="1"/>
        <v>8028.594497010823</v>
      </c>
      <c r="J13" s="42">
        <f t="shared" si="2"/>
        <v>13312.951891936027</v>
      </c>
      <c r="K13" s="42">
        <f t="shared" si="3"/>
        <v>295241.35678711074</v>
      </c>
      <c r="L13" s="42">
        <f t="shared" si="4"/>
        <v>370269.70634395047</v>
      </c>
      <c r="N13" s="4" t="s">
        <v>13</v>
      </c>
      <c r="O13" s="4">
        <v>44</v>
      </c>
      <c r="P13" s="44">
        <v>8028.594497010823</v>
      </c>
      <c r="Q13" s="44">
        <v>13312.951891936027</v>
      </c>
      <c r="R13" s="44">
        <f t="shared" si="5"/>
        <v>5284.3573949252041</v>
      </c>
      <c r="S13" s="44">
        <v>295241.35678711074</v>
      </c>
      <c r="T13" s="44">
        <v>370269.70634395047</v>
      </c>
      <c r="U13" s="43">
        <v>-3.2205096569930376</v>
      </c>
    </row>
    <row r="14" spans="1:21" x14ac:dyDescent="0.25">
      <c r="A14" s="4" t="s">
        <v>16</v>
      </c>
      <c r="B14" s="4">
        <v>64</v>
      </c>
      <c r="C14" s="4" t="s">
        <v>4</v>
      </c>
      <c r="D14" s="4">
        <v>0</v>
      </c>
      <c r="E14" s="30">
        <v>4275</v>
      </c>
      <c r="F14" s="30">
        <v>19700</v>
      </c>
      <c r="G14" s="30">
        <v>360970</v>
      </c>
      <c r="H14" s="30">
        <v>448987</v>
      </c>
      <c r="I14" s="42">
        <f t="shared" si="1"/>
        <v>1939.1096878373598</v>
      </c>
      <c r="J14" s="42">
        <f t="shared" si="2"/>
        <v>8935.7803158821025</v>
      </c>
      <c r="K14" s="42">
        <f t="shared" si="3"/>
        <v>163733.43251898288</v>
      </c>
      <c r="L14" s="42">
        <f t="shared" si="4"/>
        <v>203657.31962877957</v>
      </c>
      <c r="N14" s="4" t="s">
        <v>16</v>
      </c>
      <c r="O14" s="4">
        <v>64</v>
      </c>
      <c r="P14" s="44">
        <v>1939.1096878373598</v>
      </c>
      <c r="Q14" s="44">
        <v>8935.7803158821025</v>
      </c>
      <c r="R14" s="44">
        <f t="shared" si="5"/>
        <v>6996.6706280447424</v>
      </c>
      <c r="S14" s="44">
        <v>163733.43251898288</v>
      </c>
      <c r="T14" s="44">
        <v>203657.31962877957</v>
      </c>
      <c r="U14" s="43">
        <v>0.31751503660495217</v>
      </c>
    </row>
    <row r="15" spans="1:21" x14ac:dyDescent="0.25">
      <c r="A15" s="4" t="s">
        <v>17</v>
      </c>
      <c r="B15" s="4">
        <v>69</v>
      </c>
      <c r="C15" s="4" t="s">
        <v>4</v>
      </c>
      <c r="D15" s="4">
        <v>0</v>
      </c>
      <c r="E15" s="30">
        <v>13875</v>
      </c>
      <c r="F15" s="30">
        <v>20200</v>
      </c>
      <c r="G15" s="30">
        <v>429405</v>
      </c>
      <c r="H15" s="30">
        <v>533756</v>
      </c>
      <c r="I15" s="42">
        <f t="shared" si="1"/>
        <v>6293.6016184195014</v>
      </c>
      <c r="J15" s="42">
        <f t="shared" si="2"/>
        <v>9162.5767705999224</v>
      </c>
      <c r="K15" s="42">
        <f t="shared" si="3"/>
        <v>194775.06327621089</v>
      </c>
      <c r="L15" s="42">
        <f t="shared" si="4"/>
        <v>242107.93696872934</v>
      </c>
      <c r="N15" s="4" t="s">
        <v>17</v>
      </c>
      <c r="O15" s="4">
        <v>69</v>
      </c>
      <c r="P15" s="44">
        <v>6293.6016184195014</v>
      </c>
      <c r="Q15" s="44">
        <v>9162.5767705999224</v>
      </c>
      <c r="R15" s="44">
        <f t="shared" si="5"/>
        <v>2868.975152180421</v>
      </c>
      <c r="S15" s="44">
        <v>194775.06327621089</v>
      </c>
      <c r="T15" s="44">
        <v>242107.93696872934</v>
      </c>
      <c r="U15" s="43">
        <v>0.81646723698414547</v>
      </c>
    </row>
    <row r="16" spans="1:21" x14ac:dyDescent="0.25">
      <c r="A16" s="4" t="s">
        <v>30</v>
      </c>
      <c r="B16" s="4">
        <v>50</v>
      </c>
      <c r="C16" s="4" t="s">
        <v>4</v>
      </c>
      <c r="D16" s="4">
        <v>0</v>
      </c>
      <c r="E16" s="30">
        <v>8010</v>
      </c>
      <c r="F16" s="30">
        <v>26000</v>
      </c>
      <c r="G16" s="41">
        <v>480110</v>
      </c>
      <c r="H16" s="30">
        <v>593507</v>
      </c>
      <c r="I16" s="42">
        <f t="shared" si="1"/>
        <v>3633.2792045794745</v>
      </c>
      <c r="J16" s="42">
        <f t="shared" si="2"/>
        <v>11793.415645326633</v>
      </c>
      <c r="K16" s="42">
        <f t="shared" si="3"/>
        <v>217774.491749145</v>
      </c>
      <c r="L16" s="42">
        <f t="shared" si="4"/>
        <v>269210.56690041826</v>
      </c>
      <c r="N16" s="4" t="s">
        <v>30</v>
      </c>
      <c r="O16" s="4">
        <v>50</v>
      </c>
      <c r="P16" s="44">
        <v>3633.2792045794745</v>
      </c>
      <c r="Q16" s="44">
        <v>11793.415645326633</v>
      </c>
      <c r="R16" s="44">
        <f t="shared" si="5"/>
        <v>8160.1364407471592</v>
      </c>
      <c r="S16" s="44">
        <v>217774.491749145</v>
      </c>
      <c r="T16" s="44">
        <v>269210.56690041826</v>
      </c>
      <c r="U16" s="43">
        <v>0.9071858188712838</v>
      </c>
    </row>
    <row r="17" spans="1:21" x14ac:dyDescent="0.25">
      <c r="A17" s="4" t="s">
        <v>149</v>
      </c>
      <c r="B17" s="4">
        <v>63</v>
      </c>
      <c r="C17" s="4" t="s">
        <v>4</v>
      </c>
      <c r="D17" s="4">
        <v>0</v>
      </c>
      <c r="E17" s="30">
        <v>8895</v>
      </c>
      <c r="F17" s="30">
        <v>19450</v>
      </c>
      <c r="G17" s="30">
        <v>373612</v>
      </c>
      <c r="H17" s="30">
        <v>492050</v>
      </c>
      <c r="I17" s="42">
        <f t="shared" si="1"/>
        <v>4034.7089294300154</v>
      </c>
      <c r="J17" s="42">
        <f t="shared" si="2"/>
        <v>8822.3820885231926</v>
      </c>
      <c r="K17" s="42">
        <f t="shared" si="3"/>
        <v>169467.75408006823</v>
      </c>
      <c r="L17" s="42">
        <f t="shared" si="4"/>
        <v>223190.39108780652</v>
      </c>
      <c r="N17" s="4" t="s">
        <v>149</v>
      </c>
      <c r="O17" s="4">
        <v>63</v>
      </c>
      <c r="P17" s="44">
        <v>4034.7089294300154</v>
      </c>
      <c r="Q17" s="44">
        <v>8822.3820885231926</v>
      </c>
      <c r="R17" s="44">
        <f t="shared" si="5"/>
        <v>4787.6731590931777</v>
      </c>
      <c r="S17" s="44">
        <v>169467.75408006823</v>
      </c>
      <c r="T17" s="44">
        <v>223190.39108780652</v>
      </c>
      <c r="U17" s="43">
        <v>2.404042420008885</v>
      </c>
    </row>
    <row r="18" spans="1:21" x14ac:dyDescent="0.25">
      <c r="A18" s="3" t="s">
        <v>33</v>
      </c>
      <c r="B18" s="8">
        <f>AVERAGE(B3:B17)</f>
        <v>55</v>
      </c>
      <c r="C18" s="8"/>
      <c r="D18" s="8">
        <f>AVERAGE(D3:D17)</f>
        <v>0.21428571428571427</v>
      </c>
      <c r="E18" s="36">
        <f t="shared" ref="E18:H18" si="6">AVERAGE(E3:E17)</f>
        <v>8100.3571428571431</v>
      </c>
      <c r="F18" s="36">
        <f t="shared" si="6"/>
        <v>17606.428571428572</v>
      </c>
      <c r="G18" s="36">
        <f t="shared" si="6"/>
        <v>339758</v>
      </c>
      <c r="H18" s="36">
        <f t="shared" si="6"/>
        <v>427842.14285714284</v>
      </c>
      <c r="I18" s="6">
        <f t="shared" ref="I18:L18" si="7">AVERAGE(I3:I17)</f>
        <v>3674.2645638963377</v>
      </c>
      <c r="J18" s="6">
        <f t="shared" si="7"/>
        <v>7986.1511604850602</v>
      </c>
      <c r="K18" s="6">
        <f t="shared" si="7"/>
        <v>154111.81972403408</v>
      </c>
      <c r="L18" s="6">
        <f t="shared" si="7"/>
        <v>194066.16235775003</v>
      </c>
      <c r="N18" s="4" t="s">
        <v>5</v>
      </c>
      <c r="O18" s="4">
        <v>51</v>
      </c>
      <c r="P18" s="44">
        <v>1734.9928785913221</v>
      </c>
      <c r="Q18" s="44">
        <v>4059.6565394489758</v>
      </c>
      <c r="R18" s="44">
        <f t="shared" si="5"/>
        <v>2324.6636608576537</v>
      </c>
      <c r="S18" s="44">
        <v>73459.371683101854</v>
      </c>
      <c r="T18" s="44">
        <v>101089.53016846442</v>
      </c>
      <c r="U18" s="43">
        <v>1.5422158920811739</v>
      </c>
    </row>
    <row r="19" spans="1:21" x14ac:dyDescent="0.25">
      <c r="A19" s="3" t="s">
        <v>34</v>
      </c>
      <c r="B19" s="8">
        <f>STDEV(B3:B17)</f>
        <v>8.2635170651311842</v>
      </c>
      <c r="C19" s="8"/>
      <c r="D19" s="8">
        <f>STDEV(D3:D17)</f>
        <v>0.80178372573727319</v>
      </c>
      <c r="E19" s="36">
        <f t="shared" ref="E19:H19" si="8">STDEV(E3:E17)</f>
        <v>4352.2608909206447</v>
      </c>
      <c r="F19" s="36">
        <f t="shared" si="8"/>
        <v>6718.2387883717292</v>
      </c>
      <c r="G19" s="36">
        <f t="shared" si="8"/>
        <v>147889.1728751375</v>
      </c>
      <c r="H19" s="36">
        <f t="shared" si="8"/>
        <v>182226.79641372396</v>
      </c>
      <c r="I19" s="6">
        <f t="shared" ref="I19:L19" si="9">STDEV(I3:I17)</f>
        <v>1974.1546801356437</v>
      </c>
      <c r="J19" s="6">
        <f t="shared" si="9"/>
        <v>3047.3454783008965</v>
      </c>
      <c r="K19" s="6">
        <f t="shared" si="9"/>
        <v>67081.480198463949</v>
      </c>
      <c r="L19" s="6">
        <f t="shared" si="9"/>
        <v>82656.782762437098</v>
      </c>
      <c r="N19" s="4" t="s">
        <v>14</v>
      </c>
      <c r="O19" s="4">
        <v>55</v>
      </c>
      <c r="P19" s="44">
        <v>1387.9943028730577</v>
      </c>
      <c r="Q19" s="44">
        <v>2476.6172855185928</v>
      </c>
      <c r="R19" s="44">
        <f t="shared" si="5"/>
        <v>1088.6229826455351</v>
      </c>
      <c r="S19" s="44">
        <v>44680.71595104826</v>
      </c>
      <c r="T19" s="44">
        <v>66296.686050203672</v>
      </c>
      <c r="U19" s="43">
        <v>1.6782937649118708</v>
      </c>
    </row>
    <row r="20" spans="1:21" x14ac:dyDescent="0.25">
      <c r="A20" s="3" t="s">
        <v>160</v>
      </c>
      <c r="E20" s="37"/>
      <c r="F20" s="39">
        <f>TTEST(E3:E17,F3:F17,2,1)</f>
        <v>2.2771471198414342E-6</v>
      </c>
      <c r="G20" s="37"/>
      <c r="H20" s="39"/>
      <c r="J20" s="40">
        <f>TTEST(I3:I17,J3:J17,2,1)</f>
        <v>2.2771471198414342E-6</v>
      </c>
      <c r="L20" s="40"/>
      <c r="N20" s="4" t="s">
        <v>19</v>
      </c>
      <c r="O20" s="4">
        <v>53</v>
      </c>
      <c r="P20" s="44">
        <v>3163.810543313587</v>
      </c>
      <c r="Q20" s="44">
        <v>5125.5998766227294</v>
      </c>
      <c r="R20" s="44">
        <f t="shared" si="5"/>
        <v>1961.7893333091424</v>
      </c>
      <c r="S20" s="44">
        <v>103074.45274015478</v>
      </c>
      <c r="T20" s="44">
        <v>131828.16086218943</v>
      </c>
      <c r="U20" s="43">
        <v>-0.58967078226633873</v>
      </c>
    </row>
    <row r="21" spans="1:21" x14ac:dyDescent="0.25">
      <c r="B21" s="4"/>
      <c r="C21" s="4"/>
      <c r="D21" s="4"/>
      <c r="E21" s="37"/>
      <c r="F21" s="37"/>
      <c r="G21" s="37"/>
      <c r="H21" s="37"/>
      <c r="N21" s="4" t="s">
        <v>22</v>
      </c>
      <c r="O21" s="4">
        <v>55</v>
      </c>
      <c r="P21" s="44">
        <v>1769.0123467989949</v>
      </c>
      <c r="Q21" s="44">
        <v>4644.7913926209512</v>
      </c>
      <c r="R21" s="44">
        <f t="shared" si="5"/>
        <v>2875.7790458219561</v>
      </c>
      <c r="S21" s="44">
        <v>84334.261686821323</v>
      </c>
      <c r="T21" s="44">
        <v>110356.88690114397</v>
      </c>
      <c r="U21" s="43">
        <v>-0.49895220037920041</v>
      </c>
    </row>
    <row r="22" spans="1:21" x14ac:dyDescent="0.25">
      <c r="A22" s="4" t="s">
        <v>44</v>
      </c>
      <c r="E22" s="37"/>
      <c r="F22" s="37"/>
      <c r="G22" s="37"/>
      <c r="H22" s="37"/>
      <c r="N22" s="4" t="s">
        <v>26</v>
      </c>
      <c r="O22" s="4">
        <v>54</v>
      </c>
      <c r="P22" s="44">
        <v>1428.8176647222651</v>
      </c>
      <c r="Q22" s="44">
        <v>2721.5574566138384</v>
      </c>
      <c r="R22" s="44">
        <f t="shared" si="5"/>
        <v>1292.7397918915733</v>
      </c>
      <c r="S22" s="44">
        <v>46706.461884587821</v>
      </c>
      <c r="T22" s="44">
        <v>59239.233972294547</v>
      </c>
      <c r="U22" s="43">
        <v>-0.81646723698415258</v>
      </c>
    </row>
    <row r="23" spans="1:21" x14ac:dyDescent="0.25">
      <c r="A23" s="3" t="s">
        <v>0</v>
      </c>
      <c r="B23" s="3" t="s">
        <v>1</v>
      </c>
      <c r="C23" s="3" t="s">
        <v>2</v>
      </c>
      <c r="D23" s="3" t="s">
        <v>167</v>
      </c>
      <c r="E23" s="28" t="s">
        <v>165</v>
      </c>
      <c r="F23" s="28" t="s">
        <v>166</v>
      </c>
      <c r="G23" s="28" t="s">
        <v>168</v>
      </c>
      <c r="H23" s="28" t="s">
        <v>164</v>
      </c>
      <c r="I23" s="3" t="s">
        <v>165</v>
      </c>
      <c r="J23" s="3" t="s">
        <v>166</v>
      </c>
      <c r="K23" s="3" t="s">
        <v>168</v>
      </c>
      <c r="L23" s="3" t="s">
        <v>164</v>
      </c>
      <c r="N23" s="21" t="s">
        <v>42</v>
      </c>
      <c r="O23" s="21">
        <v>59</v>
      </c>
      <c r="P23" s="21"/>
      <c r="Q23" s="21"/>
      <c r="R23" s="21"/>
      <c r="S23" s="21"/>
      <c r="T23" s="21"/>
      <c r="U23" s="21"/>
    </row>
    <row r="24" spans="1:21" x14ac:dyDescent="0.25">
      <c r="A24" s="4" t="s">
        <v>5</v>
      </c>
      <c r="B24" s="4">
        <v>51</v>
      </c>
      <c r="C24" s="4" t="s">
        <v>6</v>
      </c>
      <c r="D24" s="4">
        <v>1</v>
      </c>
      <c r="E24" s="30">
        <v>3825</v>
      </c>
      <c r="F24" s="30">
        <v>8950</v>
      </c>
      <c r="G24" s="30">
        <v>161950</v>
      </c>
      <c r="H24" s="30">
        <v>222864</v>
      </c>
      <c r="I24" s="42">
        <f>E24/2.20462</f>
        <v>1734.9928785913221</v>
      </c>
      <c r="J24" s="42">
        <f t="shared" ref="J24:J25" si="10">F24/2.20462</f>
        <v>4059.6565394489758</v>
      </c>
      <c r="K24" s="42">
        <f>G24/2.20462</f>
        <v>73459.371683101854</v>
      </c>
      <c r="L24" s="42">
        <f t="shared" ref="L24:L25" si="11">H24/2.20462</f>
        <v>101089.53016846442</v>
      </c>
      <c r="N24" s="4" t="s">
        <v>28</v>
      </c>
      <c r="O24" s="4">
        <v>70</v>
      </c>
      <c r="P24" s="44">
        <v>1256.4523591367222</v>
      </c>
      <c r="Q24" s="44">
        <v>1859.730928686123</v>
      </c>
      <c r="R24" s="44">
        <f t="shared" si="5"/>
        <v>603.2785695494008</v>
      </c>
      <c r="S24" s="44">
        <v>35895.074888189352</v>
      </c>
      <c r="T24" s="44">
        <v>51855.648592501209</v>
      </c>
      <c r="U24" s="43">
        <v>9.0718581887131222E-2</v>
      </c>
    </row>
    <row r="25" spans="1:21" x14ac:dyDescent="0.25">
      <c r="A25" s="4" t="s">
        <v>14</v>
      </c>
      <c r="B25" s="4">
        <v>55</v>
      </c>
      <c r="C25" s="4" t="s">
        <v>6</v>
      </c>
      <c r="D25" s="4">
        <v>0</v>
      </c>
      <c r="E25" s="30">
        <v>3060</v>
      </c>
      <c r="F25" s="30">
        <v>5460</v>
      </c>
      <c r="G25" s="30">
        <v>98504</v>
      </c>
      <c r="H25" s="30">
        <v>146159</v>
      </c>
      <c r="I25" s="42">
        <f t="shared" ref="I25:I26" si="12">E25/2.20462</f>
        <v>1387.9943028730577</v>
      </c>
      <c r="J25" s="42">
        <f t="shared" si="10"/>
        <v>2476.6172855185928</v>
      </c>
      <c r="K25" s="42">
        <f t="shared" ref="K25:K26" si="13">G25/2.20462</f>
        <v>44680.71595104826</v>
      </c>
      <c r="L25" s="42">
        <f t="shared" si="11"/>
        <v>66296.686050203672</v>
      </c>
      <c r="N25" s="4" t="s">
        <v>150</v>
      </c>
      <c r="O25" s="4">
        <v>60</v>
      </c>
      <c r="P25" s="44">
        <v>2047.9719861019134</v>
      </c>
      <c r="Q25" s="44">
        <v>3923.5786666182839</v>
      </c>
      <c r="R25" s="44">
        <f t="shared" si="5"/>
        <v>1875.6066805163705</v>
      </c>
      <c r="S25" s="44">
        <v>81568.705717992227</v>
      </c>
      <c r="T25" s="44">
        <v>105234.00858197786</v>
      </c>
      <c r="U25" s="43">
        <v>0</v>
      </c>
    </row>
    <row r="26" spans="1:21" x14ac:dyDescent="0.25">
      <c r="A26" s="4" t="s">
        <v>19</v>
      </c>
      <c r="B26" s="4">
        <v>53</v>
      </c>
      <c r="C26" s="4" t="s">
        <v>6</v>
      </c>
      <c r="D26" s="4">
        <v>0</v>
      </c>
      <c r="E26" s="30">
        <v>6975</v>
      </c>
      <c r="F26" s="30">
        <v>11300</v>
      </c>
      <c r="G26" s="30">
        <v>227240</v>
      </c>
      <c r="H26" s="30">
        <v>290631</v>
      </c>
      <c r="I26" s="42">
        <f t="shared" si="12"/>
        <v>3163.810543313587</v>
      </c>
      <c r="J26" s="42">
        <f t="shared" ref="J26:J38" si="14">F26/2.20462</f>
        <v>5125.5998766227294</v>
      </c>
      <c r="K26" s="42">
        <f t="shared" si="13"/>
        <v>103074.45274015478</v>
      </c>
      <c r="L26" s="42">
        <f t="shared" ref="L26:L38" si="15">H26/2.20462</f>
        <v>131828.16086218943</v>
      </c>
      <c r="N26" s="4" t="s">
        <v>3</v>
      </c>
      <c r="O26" s="4">
        <v>45</v>
      </c>
      <c r="P26" s="44">
        <v>5204.9786357739658</v>
      </c>
      <c r="Q26" s="44">
        <v>7030.690096252416</v>
      </c>
      <c r="R26" s="44">
        <f t="shared" si="5"/>
        <v>1825.7114604784501</v>
      </c>
      <c r="S26" s="44">
        <v>167493.71773820434</v>
      </c>
      <c r="T26" s="44">
        <v>216310.74743039618</v>
      </c>
      <c r="U26" s="43">
        <v>0.58967078226633873</v>
      </c>
    </row>
    <row r="27" spans="1:21" x14ac:dyDescent="0.25">
      <c r="A27" s="4" t="s">
        <v>22</v>
      </c>
      <c r="B27" s="4">
        <v>55</v>
      </c>
      <c r="C27" s="4" t="s">
        <v>6</v>
      </c>
      <c r="D27" s="4">
        <v>0</v>
      </c>
      <c r="E27" s="30">
        <v>3900</v>
      </c>
      <c r="F27" s="30">
        <v>10240</v>
      </c>
      <c r="G27" s="30">
        <v>185925</v>
      </c>
      <c r="H27" s="30">
        <v>243295</v>
      </c>
      <c r="I27" s="42">
        <f t="shared" ref="I27:I38" si="16">E27/2.20462</f>
        <v>1769.0123467989949</v>
      </c>
      <c r="J27" s="42">
        <f t="shared" si="14"/>
        <v>4644.7913926209512</v>
      </c>
      <c r="K27" s="42">
        <f t="shared" ref="K27:K38" si="17">G27/2.20462</f>
        <v>84334.261686821323</v>
      </c>
      <c r="L27" s="42">
        <f t="shared" si="15"/>
        <v>110356.88690114397</v>
      </c>
      <c r="N27" s="4" t="s">
        <v>9</v>
      </c>
      <c r="O27" s="4">
        <v>56</v>
      </c>
      <c r="P27" s="44">
        <v>2041.1680924603788</v>
      </c>
      <c r="Q27" s="44">
        <v>15218.042111565714</v>
      </c>
      <c r="R27" s="44">
        <f t="shared" si="5"/>
        <v>13176.874019105335</v>
      </c>
      <c r="S27" s="44">
        <v>267197.97516125231</v>
      </c>
      <c r="T27" s="44">
        <v>323531.94654861157</v>
      </c>
      <c r="U27" s="43">
        <v>3.2658689479366032</v>
      </c>
    </row>
    <row r="28" spans="1:21" x14ac:dyDescent="0.25">
      <c r="A28" s="4" t="s">
        <v>26</v>
      </c>
      <c r="B28" s="4">
        <v>54</v>
      </c>
      <c r="C28" s="4" t="s">
        <v>6</v>
      </c>
      <c r="D28" s="4">
        <v>0</v>
      </c>
      <c r="E28" s="30">
        <v>3150</v>
      </c>
      <c r="F28" s="30">
        <v>6000</v>
      </c>
      <c r="G28" s="30">
        <v>102970</v>
      </c>
      <c r="H28" s="30">
        <v>130600</v>
      </c>
      <c r="I28" s="42">
        <f t="shared" si="16"/>
        <v>1428.8176647222651</v>
      </c>
      <c r="J28" s="42">
        <f t="shared" si="14"/>
        <v>2721.5574566138384</v>
      </c>
      <c r="K28" s="42">
        <f t="shared" si="17"/>
        <v>46706.461884587821</v>
      </c>
      <c r="L28" s="42">
        <f t="shared" si="15"/>
        <v>59239.233972294547</v>
      </c>
      <c r="N28" s="4" t="s">
        <v>11</v>
      </c>
      <c r="O28" s="4">
        <v>53</v>
      </c>
      <c r="P28" s="44">
        <v>4286.4529941667952</v>
      </c>
      <c r="Q28" s="44">
        <v>8663.6245702207198</v>
      </c>
      <c r="R28" s="44">
        <f t="shared" si="5"/>
        <v>4377.1715760539246</v>
      </c>
      <c r="S28" s="44">
        <v>166171.49440719944</v>
      </c>
      <c r="T28" s="44">
        <v>223120.99137266289</v>
      </c>
      <c r="U28" s="43">
        <v>1.3607787283069257</v>
      </c>
    </row>
    <row r="29" spans="1:21" x14ac:dyDescent="0.25">
      <c r="A29" s="21" t="s">
        <v>42</v>
      </c>
      <c r="B29" s="21">
        <v>59</v>
      </c>
      <c r="C29" s="21" t="s">
        <v>6</v>
      </c>
      <c r="D29" s="21"/>
      <c r="E29" s="21"/>
      <c r="F29" s="21"/>
      <c r="G29" s="21"/>
      <c r="H29" s="21"/>
      <c r="I29" s="21"/>
      <c r="J29" s="21"/>
      <c r="K29" s="21"/>
      <c r="L29" s="21"/>
      <c r="N29" s="4" t="s">
        <v>12</v>
      </c>
      <c r="O29" s="4">
        <v>46</v>
      </c>
      <c r="P29" s="44">
        <v>7416.2440692727096</v>
      </c>
      <c r="Q29" s="44">
        <v>15578.648474567048</v>
      </c>
      <c r="R29" s="44">
        <f t="shared" si="5"/>
        <v>8162.4044052943382</v>
      </c>
      <c r="S29" s="44">
        <v>306379.33067830285</v>
      </c>
      <c r="T29" s="44">
        <v>360839.05616387411</v>
      </c>
      <c r="U29" s="43">
        <v>-0.58967078226632452</v>
      </c>
    </row>
    <row r="30" spans="1:21" x14ac:dyDescent="0.25">
      <c r="A30" s="4" t="s">
        <v>28</v>
      </c>
      <c r="B30" s="4">
        <v>70</v>
      </c>
      <c r="C30" s="4" t="s">
        <v>6</v>
      </c>
      <c r="D30" s="4">
        <v>0</v>
      </c>
      <c r="E30" s="30">
        <v>2770</v>
      </c>
      <c r="F30" s="30">
        <v>4100</v>
      </c>
      <c r="G30" s="30">
        <v>79135</v>
      </c>
      <c r="H30" s="30">
        <v>114322</v>
      </c>
      <c r="I30" s="42">
        <f t="shared" si="16"/>
        <v>1256.4523591367222</v>
      </c>
      <c r="J30" s="42">
        <f t="shared" si="14"/>
        <v>1859.730928686123</v>
      </c>
      <c r="K30" s="42">
        <f t="shared" si="17"/>
        <v>35895.074888189352</v>
      </c>
      <c r="L30" s="42">
        <f t="shared" si="15"/>
        <v>51855.648592501209</v>
      </c>
      <c r="N30" s="4" t="s">
        <v>23</v>
      </c>
      <c r="O30" s="4">
        <v>60</v>
      </c>
      <c r="P30" s="44">
        <v>2347.3433063294356</v>
      </c>
      <c r="Q30" s="44">
        <v>3333.9078843519519</v>
      </c>
      <c r="R30" s="44">
        <f t="shared" si="5"/>
        <v>986.56457802251634</v>
      </c>
      <c r="S30" s="44">
        <v>47878.999555478957</v>
      </c>
      <c r="T30" s="44">
        <v>86021.173717012469</v>
      </c>
      <c r="U30" s="43">
        <v>-0.13607787283069683</v>
      </c>
    </row>
    <row r="31" spans="1:21" x14ac:dyDescent="0.25">
      <c r="A31" s="4" t="s">
        <v>150</v>
      </c>
      <c r="B31" s="4">
        <v>60</v>
      </c>
      <c r="C31" s="4" t="s">
        <v>6</v>
      </c>
      <c r="D31" s="4">
        <v>0</v>
      </c>
      <c r="E31" s="30">
        <v>4515</v>
      </c>
      <c r="F31" s="30">
        <v>8650</v>
      </c>
      <c r="G31" s="30">
        <v>179828</v>
      </c>
      <c r="H31" s="30">
        <v>232001</v>
      </c>
      <c r="I31" s="42">
        <f t="shared" si="16"/>
        <v>2047.9719861019134</v>
      </c>
      <c r="J31" s="42">
        <f t="shared" si="14"/>
        <v>3923.5786666182839</v>
      </c>
      <c r="K31" s="42">
        <f t="shared" si="17"/>
        <v>81568.705717992227</v>
      </c>
      <c r="L31" s="42">
        <f t="shared" si="15"/>
        <v>105234.00858197786</v>
      </c>
      <c r="N31" s="4" t="s">
        <v>27</v>
      </c>
      <c r="O31" s="4">
        <v>63</v>
      </c>
      <c r="P31" s="44">
        <v>4728.7060808665447</v>
      </c>
      <c r="Q31" s="44">
        <v>9139.89712512814</v>
      </c>
      <c r="R31" s="44">
        <f t="shared" si="5"/>
        <v>4411.1910442615954</v>
      </c>
      <c r="S31" s="44">
        <v>186726.05709827546</v>
      </c>
      <c r="T31" s="44">
        <v>244238.91645725796</v>
      </c>
      <c r="U31" s="43">
        <v>1.5422158920811668</v>
      </c>
    </row>
    <row r="32" spans="1:21" x14ac:dyDescent="0.25">
      <c r="A32" s="4" t="s">
        <v>3</v>
      </c>
      <c r="B32" s="4">
        <v>45</v>
      </c>
      <c r="C32" s="4" t="s">
        <v>4</v>
      </c>
      <c r="D32" s="4">
        <v>0</v>
      </c>
      <c r="E32" s="30">
        <v>11475</v>
      </c>
      <c r="F32" s="30">
        <v>15500</v>
      </c>
      <c r="G32" s="30">
        <v>369260</v>
      </c>
      <c r="H32" s="30">
        <v>476883</v>
      </c>
      <c r="I32" s="42">
        <f t="shared" si="16"/>
        <v>5204.9786357739658</v>
      </c>
      <c r="J32" s="42">
        <f t="shared" si="14"/>
        <v>7030.690096252416</v>
      </c>
      <c r="K32" s="42">
        <f t="shared" si="17"/>
        <v>167493.71773820434</v>
      </c>
      <c r="L32" s="42">
        <f t="shared" si="15"/>
        <v>216310.74743039618</v>
      </c>
      <c r="N32" s="4" t="s">
        <v>29</v>
      </c>
      <c r="O32" s="4">
        <v>60</v>
      </c>
      <c r="P32" s="44">
        <v>2245.2849017064168</v>
      </c>
      <c r="Q32" s="44">
        <v>5012.2016492638195</v>
      </c>
      <c r="R32" s="44">
        <f t="shared" si="5"/>
        <v>2766.9167475574027</v>
      </c>
      <c r="S32" s="44">
        <v>85683.700592392343</v>
      </c>
      <c r="T32" s="44">
        <v>119016.42913517977</v>
      </c>
      <c r="U32" s="43">
        <v>-0.13607787283068973</v>
      </c>
    </row>
    <row r="33" spans="1:12" x14ac:dyDescent="0.25">
      <c r="A33" s="4" t="s">
        <v>9</v>
      </c>
      <c r="B33" s="4">
        <v>56</v>
      </c>
      <c r="C33" s="4" t="s">
        <v>4</v>
      </c>
      <c r="D33" s="4">
        <v>0</v>
      </c>
      <c r="E33" s="30">
        <v>4500</v>
      </c>
      <c r="F33" s="30">
        <v>33550</v>
      </c>
      <c r="G33" s="30">
        <v>589070</v>
      </c>
      <c r="H33" s="30">
        <v>713265</v>
      </c>
      <c r="I33" s="42">
        <f t="shared" si="16"/>
        <v>2041.1680924603788</v>
      </c>
      <c r="J33" s="42">
        <f t="shared" si="14"/>
        <v>15218.042111565714</v>
      </c>
      <c r="K33" s="42">
        <f t="shared" si="17"/>
        <v>267197.97516125231</v>
      </c>
      <c r="L33" s="42">
        <f t="shared" si="15"/>
        <v>323531.94654861157</v>
      </c>
    </row>
    <row r="34" spans="1:12" x14ac:dyDescent="0.25">
      <c r="A34" s="4" t="s">
        <v>11</v>
      </c>
      <c r="B34" s="4">
        <v>53</v>
      </c>
      <c r="C34" s="4" t="s">
        <v>4</v>
      </c>
      <c r="D34" s="4">
        <v>0</v>
      </c>
      <c r="E34" s="30">
        <v>9450</v>
      </c>
      <c r="F34" s="30">
        <v>19100</v>
      </c>
      <c r="G34" s="30">
        <v>366345</v>
      </c>
      <c r="H34" s="30">
        <v>491897</v>
      </c>
      <c r="I34" s="42">
        <f t="shared" si="16"/>
        <v>4286.4529941667952</v>
      </c>
      <c r="J34" s="42">
        <f t="shared" si="14"/>
        <v>8663.6245702207198</v>
      </c>
      <c r="K34" s="42">
        <f t="shared" si="17"/>
        <v>166171.49440719944</v>
      </c>
      <c r="L34" s="42">
        <f t="shared" si="15"/>
        <v>223120.99137266289</v>
      </c>
    </row>
    <row r="35" spans="1:12" x14ac:dyDescent="0.25">
      <c r="A35" s="4" t="s">
        <v>12</v>
      </c>
      <c r="B35" s="4">
        <v>46</v>
      </c>
      <c r="C35" s="4" t="s">
        <v>4</v>
      </c>
      <c r="D35" s="4">
        <v>0</v>
      </c>
      <c r="E35" s="30">
        <v>16350</v>
      </c>
      <c r="F35" s="30">
        <v>34345</v>
      </c>
      <c r="G35" s="30">
        <v>675450</v>
      </c>
      <c r="H35" s="30">
        <v>795513</v>
      </c>
      <c r="I35" s="42">
        <f t="shared" si="16"/>
        <v>7416.2440692727096</v>
      </c>
      <c r="J35" s="42">
        <f t="shared" si="14"/>
        <v>15578.648474567048</v>
      </c>
      <c r="K35" s="42">
        <f t="shared" si="17"/>
        <v>306379.33067830285</v>
      </c>
      <c r="L35" s="42">
        <f t="shared" si="15"/>
        <v>360839.05616387411</v>
      </c>
    </row>
    <row r="36" spans="1:12" x14ac:dyDescent="0.25">
      <c r="A36" s="4" t="s">
        <v>23</v>
      </c>
      <c r="B36" s="4">
        <v>60</v>
      </c>
      <c r="C36" s="4" t="s">
        <v>4</v>
      </c>
      <c r="D36" s="4">
        <v>0</v>
      </c>
      <c r="E36" s="30">
        <v>5175</v>
      </c>
      <c r="F36" s="30">
        <v>7350</v>
      </c>
      <c r="G36" s="30">
        <v>105555</v>
      </c>
      <c r="H36" s="30">
        <v>189644</v>
      </c>
      <c r="I36" s="42">
        <f t="shared" si="16"/>
        <v>2347.3433063294356</v>
      </c>
      <c r="J36" s="42">
        <f t="shared" si="14"/>
        <v>3333.9078843519519</v>
      </c>
      <c r="K36" s="42">
        <f t="shared" si="17"/>
        <v>47878.999555478957</v>
      </c>
      <c r="L36" s="42">
        <f t="shared" si="15"/>
        <v>86021.173717012469</v>
      </c>
    </row>
    <row r="37" spans="1:12" x14ac:dyDescent="0.25">
      <c r="A37" s="4" t="s">
        <v>27</v>
      </c>
      <c r="B37" s="4">
        <v>63</v>
      </c>
      <c r="C37" s="4" t="s">
        <v>4</v>
      </c>
      <c r="D37" s="4">
        <v>0</v>
      </c>
      <c r="E37" s="30">
        <v>10425</v>
      </c>
      <c r="F37" s="30">
        <v>20150</v>
      </c>
      <c r="G37" s="30">
        <v>411660</v>
      </c>
      <c r="H37" s="30">
        <v>538454</v>
      </c>
      <c r="I37" s="42">
        <f t="shared" si="16"/>
        <v>4728.7060808665447</v>
      </c>
      <c r="J37" s="42">
        <f t="shared" si="14"/>
        <v>9139.89712512814</v>
      </c>
      <c r="K37" s="42">
        <f t="shared" si="17"/>
        <v>186726.05709827546</v>
      </c>
      <c r="L37" s="42">
        <f t="shared" si="15"/>
        <v>244238.91645725796</v>
      </c>
    </row>
    <row r="38" spans="1:12" x14ac:dyDescent="0.25">
      <c r="A38" s="4" t="s">
        <v>29</v>
      </c>
      <c r="B38" s="4">
        <v>60</v>
      </c>
      <c r="C38" s="4" t="s">
        <v>4</v>
      </c>
      <c r="D38" s="4">
        <v>0</v>
      </c>
      <c r="E38" s="30">
        <v>4950</v>
      </c>
      <c r="F38" s="30">
        <v>11050</v>
      </c>
      <c r="G38" s="30">
        <v>188900</v>
      </c>
      <c r="H38" s="30">
        <v>262386</v>
      </c>
      <c r="I38" s="42">
        <f t="shared" si="16"/>
        <v>2245.2849017064168</v>
      </c>
      <c r="J38" s="42">
        <f t="shared" si="14"/>
        <v>5012.2016492638195</v>
      </c>
      <c r="K38" s="42">
        <f t="shared" si="17"/>
        <v>85683.700592392343</v>
      </c>
      <c r="L38" s="42">
        <f t="shared" si="15"/>
        <v>119016.42913517977</v>
      </c>
    </row>
    <row r="39" spans="1:12" x14ac:dyDescent="0.25">
      <c r="A39" s="3" t="s">
        <v>33</v>
      </c>
      <c r="B39" s="8">
        <f>AVERAGE(B24:B38)</f>
        <v>56</v>
      </c>
      <c r="C39" s="8"/>
      <c r="D39" s="8">
        <f>AVERAGE(D24:D38)</f>
        <v>7.1428571428571425E-2</v>
      </c>
      <c r="E39" s="36">
        <f t="shared" ref="E39:H39" si="18">AVERAGE(E24:E38)</f>
        <v>6465.7142857142853</v>
      </c>
      <c r="F39" s="36">
        <f t="shared" si="18"/>
        <v>13981.785714285714</v>
      </c>
      <c r="G39" s="36">
        <f t="shared" si="18"/>
        <v>267270.85714285716</v>
      </c>
      <c r="H39" s="36">
        <f t="shared" si="18"/>
        <v>346279.57142857142</v>
      </c>
      <c r="I39" s="6">
        <f t="shared" ref="I39:L39" si="19">AVERAGE(I24:I38)</f>
        <v>2932.802154436722</v>
      </c>
      <c r="J39" s="6">
        <f t="shared" si="19"/>
        <v>6342.0388612485212</v>
      </c>
      <c r="K39" s="6">
        <f t="shared" si="19"/>
        <v>121232.16569878582</v>
      </c>
      <c r="L39" s="6">
        <f t="shared" si="19"/>
        <v>157069.95828241212</v>
      </c>
    </row>
    <row r="40" spans="1:12" x14ac:dyDescent="0.25">
      <c r="A40" s="3" t="s">
        <v>34</v>
      </c>
      <c r="B40" s="8">
        <f>STDEV(B24:B38)</f>
        <v>6.3919592346277412</v>
      </c>
      <c r="C40" s="8"/>
      <c r="D40" s="8">
        <f>STDEV(D24:D38)</f>
        <v>0.2672612419124244</v>
      </c>
      <c r="E40" s="36">
        <f t="shared" ref="E40:H40" si="20">STDEV(E24:E38)</f>
        <v>4010.3078038124054</v>
      </c>
      <c r="F40" s="36">
        <f t="shared" si="20"/>
        <v>9709.7040292258571</v>
      </c>
      <c r="G40" s="36">
        <f t="shared" si="20"/>
        <v>188384.852610434</v>
      </c>
      <c r="H40" s="36">
        <f t="shared" si="20"/>
        <v>219372.94026127996</v>
      </c>
      <c r="I40" s="6">
        <f t="shared" ref="I40:L40" si="21">STDEV(I24:I38)</f>
        <v>1819.0471844637202</v>
      </c>
      <c r="J40" s="6">
        <f t="shared" si="21"/>
        <v>4404.2529003755108</v>
      </c>
      <c r="K40" s="6">
        <f t="shared" si="21"/>
        <v>85450.033389170916</v>
      </c>
      <c r="L40" s="6">
        <f t="shared" si="21"/>
        <v>99506.01022456483</v>
      </c>
    </row>
    <row r="41" spans="1:12" x14ac:dyDescent="0.25">
      <c r="A41" s="3" t="s">
        <v>39</v>
      </c>
      <c r="B41" s="7"/>
      <c r="C41" s="7"/>
      <c r="D41" s="7">
        <f>TTEST(D24:D38,D3:D17,2,2)</f>
        <v>0.53261231391610009</v>
      </c>
      <c r="E41" s="35">
        <f t="shared" ref="E41:L41" si="22">TTEST(E3:E17,E24:E38,2,2)</f>
        <v>0.31090003905187974</v>
      </c>
      <c r="F41" s="35">
        <f t="shared" si="22"/>
        <v>0.26116953074855204</v>
      </c>
      <c r="G41" s="35">
        <f t="shared" si="22"/>
        <v>0.26778012041275279</v>
      </c>
      <c r="H41" s="35">
        <f t="shared" si="22"/>
        <v>0.29440591125138171</v>
      </c>
      <c r="I41" s="7">
        <f t="shared" si="22"/>
        <v>0.31090003905187974</v>
      </c>
      <c r="J41" s="7">
        <f t="shared" si="22"/>
        <v>0.26116953074855204</v>
      </c>
      <c r="K41" s="7">
        <f t="shared" si="22"/>
        <v>0.26778012041275279</v>
      </c>
      <c r="L41" s="7">
        <f t="shared" si="22"/>
        <v>0.29440591125138099</v>
      </c>
    </row>
    <row r="42" spans="1:12" x14ac:dyDescent="0.25">
      <c r="A42" s="3" t="s">
        <v>160</v>
      </c>
      <c r="F42" s="40"/>
      <c r="H42" s="40"/>
      <c r="J42" s="40">
        <f>TTEST(I24:I38,J24:J38,2,1)</f>
        <v>2.5413095137553077E-3</v>
      </c>
      <c r="L42" s="40"/>
    </row>
    <row r="43" spans="1:12" x14ac:dyDescent="0.25">
      <c r="A43" s="38" t="s">
        <v>337</v>
      </c>
      <c r="L43" s="44"/>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9678-ED99-4FD4-B22B-524577B1DFA7}">
  <dimension ref="A1:AI51"/>
  <sheetViews>
    <sheetView zoomScale="60" zoomScaleNormal="60" workbookViewId="0">
      <selection activeCell="A4" sqref="A4:XFD45"/>
    </sheetView>
  </sheetViews>
  <sheetFormatPr defaultColWidth="12.5703125" defaultRowHeight="15" x14ac:dyDescent="0.25"/>
  <cols>
    <col min="1" max="1" width="14.28515625" style="38" bestFit="1" customWidth="1"/>
    <col min="2" max="2" width="12" style="38" customWidth="1"/>
    <col min="3" max="3" width="6.85546875" style="38" customWidth="1"/>
    <col min="4" max="4" width="28" style="38" bestFit="1" customWidth="1"/>
    <col min="5" max="5" width="29.7109375" style="38" bestFit="1" customWidth="1"/>
    <col min="6" max="7" width="41" style="38" customWidth="1"/>
    <col min="8" max="8" width="28" style="38" bestFit="1" customWidth="1"/>
    <col min="9" max="9" width="29.7109375" style="38" bestFit="1" customWidth="1"/>
    <col min="10" max="10" width="33.140625" style="38" bestFit="1" customWidth="1"/>
    <col min="11" max="11" width="34.42578125" style="38" bestFit="1" customWidth="1"/>
    <col min="12" max="12" width="6.85546875" style="38" customWidth="1"/>
    <col min="13" max="13" width="14" style="38" bestFit="1" customWidth="1"/>
    <col min="14" max="14" width="22.28515625" style="38" bestFit="1" customWidth="1"/>
    <col min="15" max="15" width="9.7109375" style="38" customWidth="1"/>
    <col min="16" max="16" width="33.28515625" style="38" bestFit="1" customWidth="1"/>
    <col min="17" max="17" width="30.42578125" style="38" bestFit="1" customWidth="1"/>
    <col min="18" max="18" width="12.5703125" style="38"/>
    <col min="19" max="19" width="24" style="38" bestFit="1" customWidth="1"/>
    <col min="20" max="20" width="12.5703125" style="38"/>
    <col min="21" max="21" width="34.85546875" style="38" bestFit="1" customWidth="1"/>
    <col min="22" max="22" width="30.42578125" style="38" bestFit="1" customWidth="1"/>
    <col min="23" max="32" width="12.5703125" style="38"/>
    <col min="33" max="33" width="23" style="38" bestFit="1" customWidth="1"/>
    <col min="34" max="34" width="24.42578125" style="38" bestFit="1" customWidth="1"/>
    <col min="35" max="16384" width="12.5703125" style="38"/>
  </cols>
  <sheetData>
    <row r="1" spans="1:35" x14ac:dyDescent="0.25">
      <c r="A1" s="38" t="s">
        <v>311</v>
      </c>
    </row>
    <row r="2" spans="1:35" x14ac:dyDescent="0.25">
      <c r="A2" s="38" t="s">
        <v>319</v>
      </c>
      <c r="AG2" s="38" t="s">
        <v>169</v>
      </c>
    </row>
    <row r="3" spans="1:35" x14ac:dyDescent="0.25">
      <c r="AF3" s="38" t="s">
        <v>0</v>
      </c>
      <c r="AG3" s="38" t="s">
        <v>310</v>
      </c>
      <c r="AH3" s="38" t="s">
        <v>312</v>
      </c>
    </row>
    <row r="4" spans="1:35" x14ac:dyDescent="0.25">
      <c r="A4" s="4" t="s">
        <v>43</v>
      </c>
      <c r="B4" s="4"/>
      <c r="C4" s="4"/>
      <c r="D4" s="4" t="s">
        <v>161</v>
      </c>
      <c r="E4" s="4"/>
      <c r="F4" s="4"/>
      <c r="G4" s="4"/>
      <c r="H4" s="4" t="s">
        <v>169</v>
      </c>
      <c r="I4" s="4"/>
      <c r="J4" s="4" t="s">
        <v>320</v>
      </c>
      <c r="K4" s="4"/>
      <c r="L4" s="4"/>
      <c r="X4" s="61"/>
      <c r="Y4" s="61"/>
      <c r="Z4" s="61"/>
      <c r="AA4" s="61"/>
      <c r="AB4" s="61"/>
      <c r="AC4" s="61"/>
      <c r="AD4" s="61"/>
      <c r="AE4" s="61"/>
      <c r="AF4" s="38" t="s">
        <v>3</v>
      </c>
      <c r="AG4" s="38">
        <v>76.566483112735995</v>
      </c>
      <c r="AH4" s="38">
        <v>127.59568542424546</v>
      </c>
      <c r="AI4" s="61"/>
    </row>
    <row r="5" spans="1:35" x14ac:dyDescent="0.25">
      <c r="A5" s="3" t="s">
        <v>0</v>
      </c>
      <c r="B5" s="3" t="s">
        <v>1</v>
      </c>
      <c r="C5" s="3" t="s">
        <v>2</v>
      </c>
      <c r="D5" s="103" t="s">
        <v>310</v>
      </c>
      <c r="E5" s="103" t="s">
        <v>312</v>
      </c>
      <c r="F5" s="103" t="s">
        <v>313</v>
      </c>
      <c r="G5" s="103" t="s">
        <v>314</v>
      </c>
      <c r="H5" s="103" t="s">
        <v>310</v>
      </c>
      <c r="I5" s="103" t="s">
        <v>312</v>
      </c>
      <c r="J5" s="103" t="s">
        <v>321</v>
      </c>
      <c r="K5" s="103" t="s">
        <v>322</v>
      </c>
      <c r="L5" s="3"/>
      <c r="M5" s="61" t="s">
        <v>300</v>
      </c>
      <c r="N5" s="61" t="s">
        <v>301</v>
      </c>
      <c r="O5" s="61" t="s">
        <v>302</v>
      </c>
      <c r="P5" s="61" t="s">
        <v>303</v>
      </c>
      <c r="Q5" s="61" t="s">
        <v>317</v>
      </c>
      <c r="R5" s="61" t="s">
        <v>302</v>
      </c>
      <c r="S5" s="61" t="s">
        <v>304</v>
      </c>
      <c r="T5" s="61" t="s">
        <v>302</v>
      </c>
      <c r="U5" s="61" t="s">
        <v>305</v>
      </c>
      <c r="V5" s="61" t="s">
        <v>317</v>
      </c>
      <c r="W5" s="61" t="s">
        <v>302</v>
      </c>
      <c r="AF5" s="38" t="s">
        <v>5</v>
      </c>
      <c r="AG5" s="38">
        <v>40.823361849207579</v>
      </c>
      <c r="AH5" s="38">
        <v>61.235042773811365</v>
      </c>
    </row>
    <row r="6" spans="1:35" x14ac:dyDescent="0.25">
      <c r="A6" s="4" t="s">
        <v>10</v>
      </c>
      <c r="B6" s="4">
        <v>59</v>
      </c>
      <c r="C6" s="4" t="s">
        <v>6</v>
      </c>
      <c r="D6" s="104">
        <v>90</v>
      </c>
      <c r="E6" s="104">
        <v>123.8</v>
      </c>
      <c r="F6" s="104">
        <f>P6*R6</f>
        <v>750</v>
      </c>
      <c r="G6" s="104">
        <f>U6*W6</f>
        <v>1170</v>
      </c>
      <c r="H6" s="42">
        <f>D6/2.20462</f>
        <v>40.823361849207579</v>
      </c>
      <c r="I6" s="42">
        <f t="shared" ref="I6:K20" si="0">E6/2.20462</f>
        <v>56.154802188132201</v>
      </c>
      <c r="J6" s="42">
        <f t="shared" si="0"/>
        <v>340.1946820767298</v>
      </c>
      <c r="K6" s="42">
        <f t="shared" si="0"/>
        <v>530.70370403969855</v>
      </c>
      <c r="L6" s="4"/>
      <c r="M6" s="61" t="s">
        <v>10</v>
      </c>
      <c r="N6" s="38">
        <v>80</v>
      </c>
      <c r="O6" s="38">
        <v>5</v>
      </c>
      <c r="P6" s="38">
        <v>50</v>
      </c>
      <c r="Q6" s="107">
        <f>P6*100/N6</f>
        <v>62.5</v>
      </c>
      <c r="R6" s="38">
        <v>15</v>
      </c>
      <c r="S6" s="38">
        <v>110</v>
      </c>
      <c r="T6" s="38">
        <v>5</v>
      </c>
      <c r="U6" s="38">
        <v>65</v>
      </c>
      <c r="V6" s="107">
        <f>U6*100/S6</f>
        <v>59.090909090909093</v>
      </c>
      <c r="W6" s="38">
        <v>18</v>
      </c>
      <c r="AF6" s="38" t="s">
        <v>7</v>
      </c>
      <c r="AG6" s="38">
        <v>107.18400449964167</v>
      </c>
      <c r="AH6" s="38">
        <v>117.38984496194357</v>
      </c>
    </row>
    <row r="7" spans="1:35" x14ac:dyDescent="0.25">
      <c r="A7" s="4" t="s">
        <v>18</v>
      </c>
      <c r="B7" s="4">
        <v>48</v>
      </c>
      <c r="C7" s="4" t="s">
        <v>6</v>
      </c>
      <c r="D7" s="104">
        <v>95.6</v>
      </c>
      <c r="E7" s="104">
        <v>123.8</v>
      </c>
      <c r="F7" s="104">
        <f>P7*R7</f>
        <v>1600</v>
      </c>
      <c r="G7" s="104">
        <f>U7*W7</f>
        <v>2860</v>
      </c>
      <c r="H7" s="42">
        <f t="shared" ref="H7:H20" si="1">D7/2.20462</f>
        <v>43.363482142047154</v>
      </c>
      <c r="I7" s="42">
        <f t="shared" si="0"/>
        <v>56.154802188132201</v>
      </c>
      <c r="J7" s="42">
        <f t="shared" si="0"/>
        <v>725.74865509702363</v>
      </c>
      <c r="K7" s="42">
        <f t="shared" si="0"/>
        <v>1297.2757209859296</v>
      </c>
      <c r="L7" s="4"/>
      <c r="M7" s="61" t="s">
        <v>18</v>
      </c>
      <c r="N7" s="38">
        <v>85</v>
      </c>
      <c r="O7" s="38">
        <v>5</v>
      </c>
      <c r="P7" s="38">
        <v>50</v>
      </c>
      <c r="Q7" s="107">
        <f t="shared" ref="Q7:Q40" si="2">P7*100/N7</f>
        <v>58.823529411764703</v>
      </c>
      <c r="R7" s="38">
        <v>32</v>
      </c>
      <c r="S7" s="38">
        <v>110</v>
      </c>
      <c r="T7" s="38">
        <v>5</v>
      </c>
      <c r="U7" s="38">
        <v>65</v>
      </c>
      <c r="V7" s="107">
        <f t="shared" ref="V7:V40" si="3">U7*100/S7</f>
        <v>59.090909090909093</v>
      </c>
      <c r="W7" s="38">
        <v>44</v>
      </c>
      <c r="AF7" s="38" t="s">
        <v>8</v>
      </c>
      <c r="AG7" s="38">
        <v>66.360642650434102</v>
      </c>
      <c r="AH7" s="38">
        <v>76.838638858397374</v>
      </c>
    </row>
    <row r="8" spans="1:35" x14ac:dyDescent="0.25">
      <c r="A8" s="21" t="s">
        <v>20</v>
      </c>
      <c r="B8" s="21">
        <v>44</v>
      </c>
      <c r="C8" s="21" t="s">
        <v>6</v>
      </c>
      <c r="D8" s="105"/>
      <c r="E8" s="105"/>
      <c r="F8" s="104"/>
      <c r="G8" s="104"/>
      <c r="H8" s="21"/>
      <c r="I8" s="21"/>
      <c r="J8" s="21"/>
      <c r="K8" s="21"/>
      <c r="L8" s="102"/>
      <c r="M8" s="61" t="s">
        <v>20</v>
      </c>
      <c r="Q8" s="107"/>
      <c r="V8" s="107"/>
      <c r="AF8" s="38" t="s">
        <v>9</v>
      </c>
      <c r="AG8" s="38">
        <v>130.13580571708502</v>
      </c>
      <c r="AH8" s="38">
        <v>132.67592600992464</v>
      </c>
    </row>
    <row r="9" spans="1:35" x14ac:dyDescent="0.25">
      <c r="A9" s="4" t="s">
        <v>21</v>
      </c>
      <c r="B9" s="4">
        <v>63</v>
      </c>
      <c r="C9" s="4" t="s">
        <v>6</v>
      </c>
      <c r="D9" s="104">
        <v>163.1</v>
      </c>
      <c r="E9" s="104">
        <v>180</v>
      </c>
      <c r="F9" s="104">
        <f t="shared" ref="F9:F20" si="4">P9*R9</f>
        <v>1275</v>
      </c>
      <c r="G9" s="104">
        <f t="shared" ref="G9:G20" si="5">U9*W9</f>
        <v>2470</v>
      </c>
      <c r="H9" s="42">
        <f t="shared" si="1"/>
        <v>73.98100352895284</v>
      </c>
      <c r="I9" s="42">
        <f t="shared" si="0"/>
        <v>81.646723698415158</v>
      </c>
      <c r="J9" s="42">
        <f t="shared" si="0"/>
        <v>578.33095953044062</v>
      </c>
      <c r="K9" s="42">
        <f t="shared" si="0"/>
        <v>1120.3744863060301</v>
      </c>
      <c r="L9" s="4"/>
      <c r="M9" s="61" t="s">
        <v>21</v>
      </c>
      <c r="N9" s="38">
        <v>145</v>
      </c>
      <c r="O9" s="38">
        <v>5</v>
      </c>
      <c r="P9" s="38">
        <v>85</v>
      </c>
      <c r="Q9" s="107">
        <f t="shared" si="2"/>
        <v>58.620689655172413</v>
      </c>
      <c r="R9" s="38">
        <v>15</v>
      </c>
      <c r="S9" s="38">
        <v>160</v>
      </c>
      <c r="T9" s="38">
        <v>5</v>
      </c>
      <c r="U9" s="38">
        <v>95</v>
      </c>
      <c r="V9" s="107">
        <f t="shared" si="3"/>
        <v>59.375</v>
      </c>
      <c r="W9" s="38">
        <v>26</v>
      </c>
      <c r="AF9" s="38" t="s">
        <v>10</v>
      </c>
      <c r="AG9" s="38">
        <v>40.823361849207579</v>
      </c>
      <c r="AH9" s="38">
        <v>56.154802188132201</v>
      </c>
    </row>
    <row r="10" spans="1:35" x14ac:dyDescent="0.25">
      <c r="A10" s="4" t="s">
        <v>24</v>
      </c>
      <c r="B10" s="4">
        <v>54</v>
      </c>
      <c r="C10" s="4" t="s">
        <v>6</v>
      </c>
      <c r="D10" s="104">
        <v>135</v>
      </c>
      <c r="E10" s="104">
        <v>163.1</v>
      </c>
      <c r="F10" s="104">
        <f t="shared" si="4"/>
        <v>1330</v>
      </c>
      <c r="G10" s="104">
        <f t="shared" si="5"/>
        <v>1870</v>
      </c>
      <c r="H10" s="42">
        <f t="shared" si="1"/>
        <v>61.235042773811365</v>
      </c>
      <c r="I10" s="42">
        <f t="shared" si="0"/>
        <v>73.98100352895284</v>
      </c>
      <c r="J10" s="42">
        <f t="shared" si="0"/>
        <v>603.27856954940091</v>
      </c>
      <c r="K10" s="42">
        <f t="shared" si="0"/>
        <v>848.21874064464635</v>
      </c>
      <c r="L10" s="4"/>
      <c r="M10" s="61" t="s">
        <v>24</v>
      </c>
      <c r="N10" s="38">
        <v>120</v>
      </c>
      <c r="O10" s="38">
        <v>5</v>
      </c>
      <c r="P10" s="38">
        <v>70</v>
      </c>
      <c r="Q10" s="107">
        <f t="shared" si="2"/>
        <v>58.333333333333336</v>
      </c>
      <c r="R10" s="38">
        <v>19</v>
      </c>
      <c r="S10" s="38">
        <v>145</v>
      </c>
      <c r="T10" s="38">
        <v>5</v>
      </c>
      <c r="U10" s="38">
        <v>85</v>
      </c>
      <c r="V10" s="107">
        <f t="shared" si="3"/>
        <v>58.620689655172413</v>
      </c>
      <c r="W10" s="38">
        <v>22</v>
      </c>
      <c r="AF10" s="38" t="s">
        <v>11</v>
      </c>
      <c r="AG10" s="38">
        <v>153.08760693452842</v>
      </c>
      <c r="AH10" s="38">
        <v>158.21320681115114</v>
      </c>
    </row>
    <row r="11" spans="1:35" x14ac:dyDescent="0.25">
      <c r="A11" s="4" t="s">
        <v>25</v>
      </c>
      <c r="B11" s="4">
        <v>52</v>
      </c>
      <c r="C11" s="4" t="s">
        <v>6</v>
      </c>
      <c r="D11" s="104">
        <v>112.5</v>
      </c>
      <c r="E11" s="104">
        <v>129.4</v>
      </c>
      <c r="F11" s="104">
        <f t="shared" si="4"/>
        <v>1200</v>
      </c>
      <c r="G11" s="104">
        <f t="shared" si="5"/>
        <v>2100</v>
      </c>
      <c r="H11" s="42">
        <f t="shared" si="1"/>
        <v>51.029202311509472</v>
      </c>
      <c r="I11" s="42">
        <f t="shared" si="0"/>
        <v>58.694922480971783</v>
      </c>
      <c r="J11" s="42">
        <f t="shared" si="0"/>
        <v>544.31149132276767</v>
      </c>
      <c r="K11" s="42">
        <f t="shared" si="0"/>
        <v>952.5451098148435</v>
      </c>
      <c r="L11" s="4"/>
      <c r="M11" s="61" t="s">
        <v>25</v>
      </c>
      <c r="N11" s="38">
        <v>100</v>
      </c>
      <c r="O11" s="38">
        <v>5</v>
      </c>
      <c r="P11" s="38">
        <v>60</v>
      </c>
      <c r="Q11" s="107">
        <f t="shared" si="2"/>
        <v>60</v>
      </c>
      <c r="R11" s="38">
        <v>20</v>
      </c>
      <c r="S11" s="38">
        <v>115</v>
      </c>
      <c r="T11" s="38">
        <v>5</v>
      </c>
      <c r="U11" s="38">
        <v>70</v>
      </c>
      <c r="V11" s="107">
        <f t="shared" si="3"/>
        <v>60.869565217391305</v>
      </c>
      <c r="W11" s="38">
        <v>30</v>
      </c>
      <c r="AF11" s="38" t="s">
        <v>12</v>
      </c>
      <c r="AG11" s="38">
        <v>193.54809445618747</v>
      </c>
      <c r="AH11" s="38">
        <v>301.09497328337761</v>
      </c>
    </row>
    <row r="12" spans="1:35" x14ac:dyDescent="0.25">
      <c r="A12" s="4" t="s">
        <v>31</v>
      </c>
      <c r="B12" s="4">
        <v>57</v>
      </c>
      <c r="C12" s="4" t="s">
        <v>6</v>
      </c>
      <c r="D12" s="104">
        <v>95.6</v>
      </c>
      <c r="E12" s="104">
        <v>163.1</v>
      </c>
      <c r="F12" s="104">
        <f t="shared" si="4"/>
        <v>550</v>
      </c>
      <c r="G12" s="104">
        <f t="shared" si="5"/>
        <v>1785</v>
      </c>
      <c r="H12" s="42">
        <f t="shared" si="1"/>
        <v>43.363482142047154</v>
      </c>
      <c r="I12" s="42">
        <f t="shared" si="0"/>
        <v>73.98100352895284</v>
      </c>
      <c r="J12" s="42">
        <f t="shared" si="0"/>
        <v>249.47610018960185</v>
      </c>
      <c r="K12" s="42">
        <f t="shared" si="0"/>
        <v>809.66334334261694</v>
      </c>
      <c r="L12" s="4"/>
      <c r="M12" s="61" t="s">
        <v>31</v>
      </c>
      <c r="N12" s="38">
        <v>85</v>
      </c>
      <c r="O12" s="38">
        <v>5</v>
      </c>
      <c r="P12" s="38">
        <v>50</v>
      </c>
      <c r="Q12" s="107">
        <f t="shared" si="2"/>
        <v>58.823529411764703</v>
      </c>
      <c r="R12" s="38">
        <v>11</v>
      </c>
      <c r="S12" s="38">
        <v>145</v>
      </c>
      <c r="T12" s="38">
        <v>5</v>
      </c>
      <c r="U12" s="38">
        <v>105</v>
      </c>
      <c r="V12" s="107">
        <f t="shared" si="3"/>
        <v>72.41379310344827</v>
      </c>
      <c r="W12" s="38">
        <v>17</v>
      </c>
      <c r="AF12" s="38" t="s">
        <v>13</v>
      </c>
      <c r="AG12" s="38">
        <v>91.852564160717051</v>
      </c>
      <c r="AH12" s="38">
        <v>112.26424508532084</v>
      </c>
    </row>
    <row r="13" spans="1:35" x14ac:dyDescent="0.25">
      <c r="A13" s="4" t="s">
        <v>32</v>
      </c>
      <c r="B13" s="4">
        <v>61</v>
      </c>
      <c r="C13" s="4" t="s">
        <v>6</v>
      </c>
      <c r="D13" s="104">
        <v>135</v>
      </c>
      <c r="E13" s="104">
        <v>146.30000000000001</v>
      </c>
      <c r="F13" s="104">
        <f t="shared" si="4"/>
        <v>980</v>
      </c>
      <c r="G13" s="104">
        <f t="shared" si="5"/>
        <v>2320</v>
      </c>
      <c r="H13" s="42">
        <f t="shared" si="1"/>
        <v>61.235042773811365</v>
      </c>
      <c r="I13" s="42">
        <f t="shared" si="0"/>
        <v>66.360642650434102</v>
      </c>
      <c r="J13" s="42">
        <f t="shared" si="0"/>
        <v>444.52105124692696</v>
      </c>
      <c r="K13" s="42">
        <f t="shared" si="0"/>
        <v>1052.3355498906842</v>
      </c>
      <c r="L13" s="4"/>
      <c r="M13" s="61" t="s">
        <v>32</v>
      </c>
      <c r="N13" s="38">
        <v>120</v>
      </c>
      <c r="O13" s="38">
        <v>5</v>
      </c>
      <c r="P13" s="38">
        <v>70</v>
      </c>
      <c r="Q13" s="107">
        <f t="shared" si="2"/>
        <v>58.333333333333336</v>
      </c>
      <c r="R13" s="38">
        <v>14</v>
      </c>
      <c r="S13" s="38">
        <v>130</v>
      </c>
      <c r="T13" s="38">
        <v>5</v>
      </c>
      <c r="U13" s="38">
        <v>80</v>
      </c>
      <c r="V13" s="107">
        <f t="shared" si="3"/>
        <v>61.53846153846154</v>
      </c>
      <c r="W13" s="38">
        <v>29</v>
      </c>
      <c r="AF13" s="38" t="s">
        <v>14</v>
      </c>
      <c r="AG13" s="38">
        <v>40.823361849207579</v>
      </c>
      <c r="AH13" s="38">
        <v>53.569322604349054</v>
      </c>
    </row>
    <row r="14" spans="1:35" x14ac:dyDescent="0.25">
      <c r="A14" s="4" t="s">
        <v>7</v>
      </c>
      <c r="B14" s="4">
        <v>42</v>
      </c>
      <c r="C14" s="4" t="s">
        <v>4</v>
      </c>
      <c r="D14" s="104">
        <v>236.3</v>
      </c>
      <c r="E14" s="104">
        <v>258.8</v>
      </c>
      <c r="F14" s="104">
        <f t="shared" si="4"/>
        <v>3250</v>
      </c>
      <c r="G14" s="104">
        <f t="shared" si="5"/>
        <v>3500</v>
      </c>
      <c r="H14" s="42">
        <f t="shared" si="1"/>
        <v>107.18400449964167</v>
      </c>
      <c r="I14" s="42">
        <f t="shared" si="0"/>
        <v>117.38984496194357</v>
      </c>
      <c r="J14" s="42">
        <f t="shared" si="0"/>
        <v>1474.1769556658292</v>
      </c>
      <c r="K14" s="42">
        <f t="shared" si="0"/>
        <v>1587.5751830247391</v>
      </c>
      <c r="L14" s="4"/>
      <c r="M14" s="61" t="s">
        <v>306</v>
      </c>
      <c r="N14" s="38">
        <v>210</v>
      </c>
      <c r="O14" s="38">
        <v>5</v>
      </c>
      <c r="P14" s="38">
        <v>125</v>
      </c>
      <c r="Q14" s="107">
        <f t="shared" si="2"/>
        <v>59.523809523809526</v>
      </c>
      <c r="R14" s="38">
        <v>26</v>
      </c>
      <c r="S14" s="38">
        <v>230</v>
      </c>
      <c r="T14" s="38">
        <v>5</v>
      </c>
      <c r="U14" s="38">
        <v>140</v>
      </c>
      <c r="V14" s="107">
        <f t="shared" si="3"/>
        <v>60.869565217391305</v>
      </c>
      <c r="W14" s="38">
        <v>25</v>
      </c>
      <c r="X14" s="38" t="s">
        <v>307</v>
      </c>
      <c r="AF14" s="38" t="s">
        <v>16</v>
      </c>
      <c r="AG14" s="38">
        <v>63.775163066650947</v>
      </c>
      <c r="AH14" s="38">
        <v>81.646723698415158</v>
      </c>
    </row>
    <row r="15" spans="1:35" x14ac:dyDescent="0.25">
      <c r="A15" s="4" t="s">
        <v>8</v>
      </c>
      <c r="B15" s="4">
        <v>55</v>
      </c>
      <c r="C15" s="4" t="s">
        <v>4</v>
      </c>
      <c r="D15" s="104">
        <v>146.30000000000001</v>
      </c>
      <c r="E15" s="104">
        <v>169.4</v>
      </c>
      <c r="F15" s="104">
        <f t="shared" si="4"/>
        <v>1680</v>
      </c>
      <c r="G15" s="104">
        <f t="shared" si="5"/>
        <v>2600</v>
      </c>
      <c r="H15" s="42">
        <f t="shared" si="1"/>
        <v>66.360642650434102</v>
      </c>
      <c r="I15" s="42">
        <f t="shared" si="0"/>
        <v>76.838638858397374</v>
      </c>
      <c r="J15" s="42">
        <f t="shared" si="0"/>
        <v>762.03608785187475</v>
      </c>
      <c r="K15" s="42">
        <f t="shared" si="0"/>
        <v>1179.3415645326634</v>
      </c>
      <c r="L15" s="4"/>
      <c r="M15" s="61" t="s">
        <v>8</v>
      </c>
      <c r="N15" s="38">
        <v>130</v>
      </c>
      <c r="O15" s="38">
        <v>5</v>
      </c>
      <c r="P15" s="38">
        <v>80</v>
      </c>
      <c r="Q15" s="107">
        <f t="shared" si="2"/>
        <v>61.53846153846154</v>
      </c>
      <c r="R15" s="38">
        <v>21</v>
      </c>
      <c r="S15" s="38">
        <v>160</v>
      </c>
      <c r="T15" s="38">
        <v>3</v>
      </c>
      <c r="U15" s="38">
        <v>100</v>
      </c>
      <c r="V15" s="107">
        <f t="shared" si="3"/>
        <v>62.5</v>
      </c>
      <c r="W15" s="38">
        <v>26</v>
      </c>
      <c r="AF15" s="38" t="s">
        <v>17</v>
      </c>
      <c r="AG15" s="38">
        <v>112.26424508532084</v>
      </c>
      <c r="AH15" s="38">
        <v>81.646723698415158</v>
      </c>
    </row>
    <row r="16" spans="1:35" x14ac:dyDescent="0.25">
      <c r="A16" s="4" t="s">
        <v>13</v>
      </c>
      <c r="B16" s="4">
        <v>44</v>
      </c>
      <c r="C16" s="4" t="s">
        <v>4</v>
      </c>
      <c r="D16" s="104">
        <v>202.5</v>
      </c>
      <c r="E16" s="104">
        <v>247.5</v>
      </c>
      <c r="F16" s="104">
        <f t="shared" si="4"/>
        <v>2860</v>
      </c>
      <c r="G16" s="104">
        <f t="shared" si="5"/>
        <v>3770</v>
      </c>
      <c r="H16" s="42">
        <f t="shared" si="1"/>
        <v>91.852564160717051</v>
      </c>
      <c r="I16" s="42">
        <f t="shared" si="0"/>
        <v>112.26424508532084</v>
      </c>
      <c r="J16" s="42">
        <f t="shared" si="0"/>
        <v>1297.2757209859296</v>
      </c>
      <c r="K16" s="42">
        <f t="shared" si="0"/>
        <v>1710.0452685723619</v>
      </c>
      <c r="L16" s="4"/>
      <c r="M16" s="61" t="s">
        <v>13</v>
      </c>
      <c r="N16" s="38">
        <v>180</v>
      </c>
      <c r="O16" s="38">
        <v>5</v>
      </c>
      <c r="P16" s="38">
        <v>110</v>
      </c>
      <c r="Q16" s="107">
        <f t="shared" si="2"/>
        <v>61.111111111111114</v>
      </c>
      <c r="R16" s="38">
        <v>26</v>
      </c>
      <c r="S16" s="38">
        <v>220</v>
      </c>
      <c r="T16" s="38">
        <v>5</v>
      </c>
      <c r="U16" s="38">
        <v>130</v>
      </c>
      <c r="V16" s="107">
        <f t="shared" si="3"/>
        <v>59.090909090909093</v>
      </c>
      <c r="W16" s="38">
        <v>29</v>
      </c>
      <c r="X16" s="38" t="s">
        <v>309</v>
      </c>
      <c r="AF16" s="38" t="s">
        <v>18</v>
      </c>
      <c r="AG16" s="38">
        <v>43.363482142047154</v>
      </c>
      <c r="AH16" s="38">
        <v>56.154802188132201</v>
      </c>
    </row>
    <row r="17" spans="1:34" x14ac:dyDescent="0.25">
      <c r="A17" s="4" t="s">
        <v>16</v>
      </c>
      <c r="B17" s="4">
        <v>64</v>
      </c>
      <c r="C17" s="4" t="s">
        <v>4</v>
      </c>
      <c r="D17" s="104">
        <v>140.6</v>
      </c>
      <c r="E17" s="104">
        <v>180</v>
      </c>
      <c r="F17" s="104">
        <f t="shared" si="4"/>
        <v>1875</v>
      </c>
      <c r="G17" s="104">
        <f t="shared" si="5"/>
        <v>1725</v>
      </c>
      <c r="H17" s="42">
        <f t="shared" si="1"/>
        <v>63.775163066650947</v>
      </c>
      <c r="I17" s="42">
        <f t="shared" si="0"/>
        <v>81.646723698415158</v>
      </c>
      <c r="J17" s="42">
        <f t="shared" si="0"/>
        <v>850.48670519182451</v>
      </c>
      <c r="K17" s="42">
        <f t="shared" si="0"/>
        <v>782.4477687764786</v>
      </c>
      <c r="L17" s="4"/>
      <c r="M17" s="61" t="s">
        <v>16</v>
      </c>
      <c r="N17" s="38">
        <v>125</v>
      </c>
      <c r="O17" s="38">
        <v>5</v>
      </c>
      <c r="P17" s="38">
        <v>75</v>
      </c>
      <c r="Q17" s="107">
        <f t="shared" si="2"/>
        <v>60</v>
      </c>
      <c r="R17" s="38">
        <v>25</v>
      </c>
      <c r="S17" s="38">
        <v>160</v>
      </c>
      <c r="T17" s="38">
        <v>5</v>
      </c>
      <c r="U17" s="38">
        <v>115</v>
      </c>
      <c r="V17" s="107">
        <f t="shared" si="3"/>
        <v>71.875</v>
      </c>
      <c r="W17" s="38">
        <v>15</v>
      </c>
      <c r="AF17" s="38" t="s">
        <v>19</v>
      </c>
      <c r="AG17" s="38">
        <v>45.948961725830301</v>
      </c>
      <c r="AH17" s="38">
        <v>58.694922480971783</v>
      </c>
    </row>
    <row r="18" spans="1:34" x14ac:dyDescent="0.25">
      <c r="A18" s="4" t="s">
        <v>17</v>
      </c>
      <c r="B18" s="4">
        <v>69</v>
      </c>
      <c r="C18" s="4" t="s">
        <v>4</v>
      </c>
      <c r="D18" s="104">
        <v>247.5</v>
      </c>
      <c r="E18" s="104">
        <v>180</v>
      </c>
      <c r="F18" s="104">
        <f t="shared" si="4"/>
        <v>2340</v>
      </c>
      <c r="G18" s="104">
        <f t="shared" si="5"/>
        <v>2375</v>
      </c>
      <c r="H18" s="42">
        <f t="shared" si="1"/>
        <v>112.26424508532084</v>
      </c>
      <c r="I18" s="42">
        <f t="shared" si="0"/>
        <v>81.646723698415158</v>
      </c>
      <c r="J18" s="42">
        <f t="shared" si="0"/>
        <v>1061.4074080793971</v>
      </c>
      <c r="K18" s="42">
        <f t="shared" si="0"/>
        <v>1077.2831599096444</v>
      </c>
      <c r="L18" s="4"/>
      <c r="M18" s="61" t="s">
        <v>17</v>
      </c>
      <c r="N18" s="38">
        <v>220</v>
      </c>
      <c r="O18" s="38">
        <v>5</v>
      </c>
      <c r="P18" s="38">
        <v>130</v>
      </c>
      <c r="Q18" s="107">
        <f t="shared" si="2"/>
        <v>59.090909090909093</v>
      </c>
      <c r="R18" s="38">
        <v>18</v>
      </c>
      <c r="S18" s="38">
        <v>160</v>
      </c>
      <c r="T18" s="38">
        <v>5</v>
      </c>
      <c r="U18" s="38">
        <v>95</v>
      </c>
      <c r="V18" s="107">
        <f t="shared" si="3"/>
        <v>59.375</v>
      </c>
      <c r="W18" s="38">
        <v>25</v>
      </c>
      <c r="AF18" s="38" t="s">
        <v>20</v>
      </c>
    </row>
    <row r="19" spans="1:34" x14ac:dyDescent="0.25">
      <c r="A19" s="4" t="s">
        <v>30</v>
      </c>
      <c r="B19" s="4">
        <v>50</v>
      </c>
      <c r="C19" s="4" t="s">
        <v>4</v>
      </c>
      <c r="D19" s="104">
        <v>180</v>
      </c>
      <c r="E19" s="104">
        <v>247.5</v>
      </c>
      <c r="F19" s="104">
        <f t="shared" si="4"/>
        <v>1330</v>
      </c>
      <c r="G19" s="104">
        <f t="shared" si="5"/>
        <v>3450</v>
      </c>
      <c r="H19" s="42">
        <f t="shared" si="1"/>
        <v>81.646723698415158</v>
      </c>
      <c r="I19" s="42">
        <f t="shared" si="0"/>
        <v>112.26424508532084</v>
      </c>
      <c r="J19" s="42">
        <f t="shared" si="0"/>
        <v>603.27856954940091</v>
      </c>
      <c r="K19" s="42">
        <f t="shared" si="0"/>
        <v>1564.8955375529572</v>
      </c>
      <c r="L19" s="4"/>
      <c r="M19" s="61" t="s">
        <v>30</v>
      </c>
      <c r="N19" s="38">
        <v>160</v>
      </c>
      <c r="O19" s="38">
        <v>5</v>
      </c>
      <c r="P19" s="38">
        <v>95</v>
      </c>
      <c r="Q19" s="107">
        <f t="shared" si="2"/>
        <v>59.375</v>
      </c>
      <c r="R19" s="38">
        <v>14</v>
      </c>
      <c r="S19" s="38">
        <v>250</v>
      </c>
      <c r="T19" s="38">
        <v>5</v>
      </c>
      <c r="U19" s="38">
        <v>150</v>
      </c>
      <c r="V19" s="107">
        <f t="shared" si="3"/>
        <v>60</v>
      </c>
      <c r="W19" s="38">
        <v>23</v>
      </c>
      <c r="AF19" s="38" t="s">
        <v>21</v>
      </c>
      <c r="AG19" s="38">
        <v>73.98100352895284</v>
      </c>
      <c r="AH19" s="38">
        <v>81.646723698415158</v>
      </c>
    </row>
    <row r="20" spans="1:34" x14ac:dyDescent="0.25">
      <c r="A20" s="4" t="s">
        <v>149</v>
      </c>
      <c r="B20" s="4">
        <v>63</v>
      </c>
      <c r="C20" s="4" t="s">
        <v>4</v>
      </c>
      <c r="D20" s="104">
        <v>180</v>
      </c>
      <c r="E20" s="104">
        <v>247.5</v>
      </c>
      <c r="F20" s="104">
        <f t="shared" si="4"/>
        <v>2375</v>
      </c>
      <c r="G20" s="104">
        <f t="shared" si="5"/>
        <v>6975</v>
      </c>
      <c r="H20" s="42">
        <f t="shared" si="1"/>
        <v>81.646723698415158</v>
      </c>
      <c r="I20" s="42">
        <f t="shared" si="0"/>
        <v>112.26424508532084</v>
      </c>
      <c r="J20" s="42">
        <f t="shared" si="0"/>
        <v>1077.2831599096444</v>
      </c>
      <c r="K20" s="42">
        <f t="shared" si="0"/>
        <v>3163.810543313587</v>
      </c>
      <c r="L20" s="4"/>
      <c r="M20" s="61" t="s">
        <v>149</v>
      </c>
      <c r="N20" s="38">
        <v>160</v>
      </c>
      <c r="O20" s="38">
        <v>5</v>
      </c>
      <c r="P20" s="38">
        <v>95</v>
      </c>
      <c r="Q20" s="107">
        <f t="shared" si="2"/>
        <v>59.375</v>
      </c>
      <c r="R20" s="38">
        <v>25</v>
      </c>
      <c r="S20" s="38">
        <v>220</v>
      </c>
      <c r="T20" s="38">
        <v>5</v>
      </c>
      <c r="U20" s="38">
        <v>155</v>
      </c>
      <c r="V20" s="107">
        <f t="shared" si="3"/>
        <v>70.454545454545453</v>
      </c>
      <c r="W20" s="38">
        <v>45</v>
      </c>
      <c r="AF20" s="38" t="s">
        <v>22</v>
      </c>
      <c r="AG20" s="38">
        <v>40.823361849207579</v>
      </c>
      <c r="AH20" s="38">
        <v>63.775163066650947</v>
      </c>
    </row>
    <row r="21" spans="1:34" x14ac:dyDescent="0.25">
      <c r="A21" s="3" t="s">
        <v>33</v>
      </c>
      <c r="B21" s="8">
        <f>AVERAGE(B6:B20)</f>
        <v>55</v>
      </c>
      <c r="C21" s="8"/>
      <c r="D21" s="36">
        <f t="shared" ref="D21:K21" si="6">AVERAGE(D6:D20)</f>
        <v>154.28571428571428</v>
      </c>
      <c r="E21" s="36">
        <f t="shared" si="6"/>
        <v>182.87142857142857</v>
      </c>
      <c r="F21" s="36">
        <f t="shared" si="6"/>
        <v>1671.0714285714287</v>
      </c>
      <c r="G21" s="36">
        <f t="shared" si="6"/>
        <v>2783.5714285714284</v>
      </c>
      <c r="H21" s="6">
        <f t="shared" si="6"/>
        <v>69.982906027212991</v>
      </c>
      <c r="I21" s="6">
        <f t="shared" si="6"/>
        <v>82.949183338366069</v>
      </c>
      <c r="J21" s="6">
        <f t="shared" si="6"/>
        <v>757.98615116048518</v>
      </c>
      <c r="K21" s="6">
        <f t="shared" si="6"/>
        <v>1262.6082629076343</v>
      </c>
      <c r="L21" s="8"/>
      <c r="Q21" s="107"/>
      <c r="V21" s="107"/>
      <c r="AF21" s="38" t="s">
        <v>23</v>
      </c>
    </row>
    <row r="22" spans="1:34" x14ac:dyDescent="0.25">
      <c r="A22" s="3" t="s">
        <v>34</v>
      </c>
      <c r="B22" s="8">
        <f>STDEV(B6:B20)</f>
        <v>8.2635170651311842</v>
      </c>
      <c r="C22" s="8"/>
      <c r="D22" s="36">
        <f t="shared" ref="D22:K22" si="7">STDEV(D6:D20)</f>
        <v>50.308033570775194</v>
      </c>
      <c r="E22" s="36">
        <f t="shared" si="7"/>
        <v>48.404758643553492</v>
      </c>
      <c r="F22" s="36">
        <f t="shared" si="7"/>
        <v>788.88718743904963</v>
      </c>
      <c r="G22" s="36">
        <f t="shared" si="7"/>
        <v>1415.3396284059399</v>
      </c>
      <c r="H22" s="6">
        <f t="shared" si="7"/>
        <v>22.819367315353745</v>
      </c>
      <c r="I22" s="6">
        <f t="shared" si="7"/>
        <v>21.956055303659252</v>
      </c>
      <c r="J22" s="6">
        <f t="shared" si="7"/>
        <v>357.83363456697742</v>
      </c>
      <c r="K22" s="6">
        <f t="shared" si="7"/>
        <v>641.98801988820742</v>
      </c>
      <c r="L22" s="8"/>
      <c r="Q22" s="107"/>
      <c r="V22" s="107"/>
      <c r="AF22" s="38" t="s">
        <v>24</v>
      </c>
      <c r="AG22" s="38">
        <v>61.235042773811365</v>
      </c>
      <c r="AH22" s="38">
        <v>73.98100352895284</v>
      </c>
    </row>
    <row r="23" spans="1:34" x14ac:dyDescent="0.25">
      <c r="A23" s="3" t="s">
        <v>160</v>
      </c>
      <c r="D23" s="37"/>
      <c r="E23" s="39">
        <f>TTEST(D6:D20,E6:E20,2,1)</f>
        <v>7.4257343290152949E-3</v>
      </c>
      <c r="F23" s="37"/>
      <c r="G23" s="39"/>
      <c r="I23" s="40">
        <f>TTEST(H6:H20,I6:I20,2,1)</f>
        <v>7.4257343290153365E-3</v>
      </c>
      <c r="K23" s="40">
        <f>TTEST(J6:J20,K6:K20,2,1)</f>
        <v>3.4416090957796325E-3</v>
      </c>
      <c r="Q23" s="107"/>
      <c r="V23" s="107"/>
      <c r="AF23" s="38" t="s">
        <v>25</v>
      </c>
      <c r="AG23" s="38">
        <v>51.029202311509472</v>
      </c>
      <c r="AH23" s="38">
        <v>58.694922480971783</v>
      </c>
    </row>
    <row r="24" spans="1:34" x14ac:dyDescent="0.25">
      <c r="B24" s="4"/>
      <c r="C24" s="4"/>
      <c r="D24" s="4"/>
      <c r="E24" s="4"/>
      <c r="F24" s="4"/>
      <c r="G24" s="4"/>
      <c r="H24" s="4"/>
      <c r="I24" s="4"/>
      <c r="J24" s="4"/>
      <c r="K24" s="4"/>
      <c r="L24" s="4"/>
      <c r="Q24" s="107"/>
      <c r="V24" s="107"/>
      <c r="AF24" s="38" t="s">
        <v>26</v>
      </c>
      <c r="AG24" s="38">
        <v>35.743121263528408</v>
      </c>
      <c r="AH24" s="38">
        <v>40.823361849207579</v>
      </c>
    </row>
    <row r="25" spans="1:34" x14ac:dyDescent="0.25">
      <c r="A25" s="4" t="s">
        <v>44</v>
      </c>
      <c r="Q25" s="107"/>
      <c r="V25" s="107"/>
      <c r="AF25" s="38" t="s">
        <v>27</v>
      </c>
      <c r="AG25" s="38">
        <v>66.360642650434102</v>
      </c>
      <c r="AH25" s="38">
        <v>102.05840462301894</v>
      </c>
    </row>
    <row r="26" spans="1:34" x14ac:dyDescent="0.25">
      <c r="A26" s="3" t="s">
        <v>0</v>
      </c>
      <c r="B26" s="3" t="s">
        <v>1</v>
      </c>
      <c r="C26" s="3" t="s">
        <v>2</v>
      </c>
      <c r="D26" s="103" t="s">
        <v>310</v>
      </c>
      <c r="E26" s="103" t="s">
        <v>312</v>
      </c>
      <c r="F26" s="103" t="s">
        <v>313</v>
      </c>
      <c r="G26" s="103" t="s">
        <v>314</v>
      </c>
      <c r="H26" s="103" t="s">
        <v>310</v>
      </c>
      <c r="I26" s="103" t="s">
        <v>312</v>
      </c>
      <c r="J26" s="103" t="s">
        <v>321</v>
      </c>
      <c r="K26" s="103" t="s">
        <v>322</v>
      </c>
      <c r="L26" s="3"/>
      <c r="Q26" s="107"/>
      <c r="V26" s="107"/>
      <c r="AF26" s="38" t="s">
        <v>29</v>
      </c>
    </row>
    <row r="27" spans="1:34" x14ac:dyDescent="0.25">
      <c r="A27" s="4" t="s">
        <v>5</v>
      </c>
      <c r="B27" s="4">
        <v>51</v>
      </c>
      <c r="C27" s="4" t="s">
        <v>6</v>
      </c>
      <c r="D27" s="104">
        <v>90</v>
      </c>
      <c r="E27" s="104">
        <v>135</v>
      </c>
      <c r="F27" s="104">
        <f>P27*R27</f>
        <v>1500</v>
      </c>
      <c r="G27" s="104">
        <f>U27*W27</f>
        <v>1750</v>
      </c>
      <c r="H27" s="42">
        <f>D27/2.20462</f>
        <v>40.823361849207579</v>
      </c>
      <c r="I27" s="42">
        <f t="shared" ref="I27:J40" si="8">E27/2.20462</f>
        <v>61.235042773811365</v>
      </c>
      <c r="J27" s="42">
        <f>F27/2.20462</f>
        <v>680.38936415345961</v>
      </c>
      <c r="K27" s="42">
        <f t="shared" ref="K27:K40" si="9">G27/2.20462</f>
        <v>793.78759151236954</v>
      </c>
      <c r="L27" s="4"/>
      <c r="M27" s="61" t="s">
        <v>5</v>
      </c>
      <c r="N27" s="38">
        <v>80</v>
      </c>
      <c r="O27" s="38">
        <v>5</v>
      </c>
      <c r="P27" s="38">
        <v>50</v>
      </c>
      <c r="Q27" s="107">
        <f t="shared" si="2"/>
        <v>62.5</v>
      </c>
      <c r="R27" s="38">
        <v>30</v>
      </c>
      <c r="S27" s="38">
        <v>120</v>
      </c>
      <c r="T27" s="38">
        <v>5</v>
      </c>
      <c r="U27" s="38">
        <v>70</v>
      </c>
      <c r="V27" s="107">
        <f t="shared" si="3"/>
        <v>58.333333333333336</v>
      </c>
      <c r="W27" s="38">
        <v>25</v>
      </c>
      <c r="AF27" s="38" t="s">
        <v>42</v>
      </c>
    </row>
    <row r="28" spans="1:34" x14ac:dyDescent="0.25">
      <c r="A28" s="4" t="s">
        <v>14</v>
      </c>
      <c r="B28" s="4">
        <v>55</v>
      </c>
      <c r="C28" s="4" t="s">
        <v>6</v>
      </c>
      <c r="D28" s="104">
        <v>90</v>
      </c>
      <c r="E28" s="104">
        <v>118.1</v>
      </c>
      <c r="F28" s="104">
        <f>P28*R28</f>
        <v>800</v>
      </c>
      <c r="G28" s="104">
        <f>U28*W28</f>
        <v>1360</v>
      </c>
      <c r="H28" s="42">
        <f t="shared" ref="H28:H40" si="10">D28/2.20462</f>
        <v>40.823361849207579</v>
      </c>
      <c r="I28" s="42">
        <f t="shared" si="8"/>
        <v>53.569322604349054</v>
      </c>
      <c r="J28" s="42">
        <f t="shared" si="8"/>
        <v>362.87432754851181</v>
      </c>
      <c r="K28" s="42">
        <f t="shared" si="9"/>
        <v>616.88635683247003</v>
      </c>
      <c r="L28" s="4"/>
      <c r="M28" s="61" t="s">
        <v>14</v>
      </c>
      <c r="N28" s="38">
        <v>80</v>
      </c>
      <c r="O28" s="38">
        <v>5</v>
      </c>
      <c r="P28" s="38">
        <v>50</v>
      </c>
      <c r="Q28" s="107">
        <f t="shared" si="2"/>
        <v>62.5</v>
      </c>
      <c r="R28" s="38">
        <v>16</v>
      </c>
      <c r="S28" s="38">
        <v>105</v>
      </c>
      <c r="T28" s="38">
        <v>5</v>
      </c>
      <c r="U28" s="38">
        <v>80</v>
      </c>
      <c r="V28" s="107">
        <f t="shared" si="3"/>
        <v>76.19047619047619</v>
      </c>
      <c r="W28" s="38">
        <v>17</v>
      </c>
      <c r="AF28" s="38" t="s">
        <v>28</v>
      </c>
      <c r="AG28" s="38">
        <v>40.823361849207579</v>
      </c>
      <c r="AH28" s="38">
        <v>45.948961725830301</v>
      </c>
    </row>
    <row r="29" spans="1:34" x14ac:dyDescent="0.25">
      <c r="A29" s="4" t="s">
        <v>19</v>
      </c>
      <c r="B29" s="4">
        <v>53</v>
      </c>
      <c r="C29" s="4" t="s">
        <v>6</v>
      </c>
      <c r="D29" s="108">
        <v>101.3</v>
      </c>
      <c r="E29" s="108">
        <v>129.4</v>
      </c>
      <c r="F29" s="104">
        <f>P29*R29</f>
        <v>1250</v>
      </c>
      <c r="G29" s="104">
        <f>U29*W29</f>
        <v>900</v>
      </c>
      <c r="H29" s="42">
        <f t="shared" si="10"/>
        <v>45.948961725830301</v>
      </c>
      <c r="I29" s="42">
        <f t="shared" si="8"/>
        <v>58.694922480971783</v>
      </c>
      <c r="J29" s="42">
        <f t="shared" si="8"/>
        <v>566.99113679454967</v>
      </c>
      <c r="K29" s="42">
        <f t="shared" si="9"/>
        <v>408.23361849207578</v>
      </c>
      <c r="L29" s="4"/>
      <c r="M29" s="61" t="s">
        <v>19</v>
      </c>
      <c r="N29" s="38">
        <v>90</v>
      </c>
      <c r="O29" s="38">
        <v>5</v>
      </c>
      <c r="P29" s="38">
        <v>50</v>
      </c>
      <c r="Q29" s="107">
        <f t="shared" si="2"/>
        <v>55.555555555555557</v>
      </c>
      <c r="R29" s="38">
        <v>25</v>
      </c>
      <c r="S29" s="38">
        <v>115</v>
      </c>
      <c r="T29" s="38">
        <v>5</v>
      </c>
      <c r="U29" s="38">
        <v>90</v>
      </c>
      <c r="V29" s="107">
        <f>U29*100/S29</f>
        <v>78.260869565217391</v>
      </c>
      <c r="W29" s="38">
        <v>10</v>
      </c>
      <c r="AF29" s="38" t="s">
        <v>30</v>
      </c>
      <c r="AG29" s="38">
        <v>81.646723698415158</v>
      </c>
      <c r="AH29" s="38">
        <v>112.26424508532084</v>
      </c>
    </row>
    <row r="30" spans="1:34" x14ac:dyDescent="0.25">
      <c r="A30" s="4" t="s">
        <v>22</v>
      </c>
      <c r="B30" s="4">
        <v>55</v>
      </c>
      <c r="C30" s="4" t="s">
        <v>6</v>
      </c>
      <c r="D30" s="104">
        <v>90</v>
      </c>
      <c r="E30" s="104">
        <v>140.6</v>
      </c>
      <c r="F30" s="104">
        <f>P30*R30</f>
        <v>750</v>
      </c>
      <c r="G30" s="104">
        <f>U30*W30</f>
        <v>975</v>
      </c>
      <c r="H30" s="42">
        <f t="shared" si="10"/>
        <v>40.823361849207579</v>
      </c>
      <c r="I30" s="42">
        <f t="shared" si="8"/>
        <v>63.775163066650947</v>
      </c>
      <c r="J30" s="42">
        <f t="shared" si="8"/>
        <v>340.1946820767298</v>
      </c>
      <c r="K30" s="42">
        <f t="shared" si="9"/>
        <v>442.25308669974874</v>
      </c>
      <c r="L30" s="4"/>
      <c r="M30" s="61" t="s">
        <v>22</v>
      </c>
      <c r="N30" s="38">
        <v>80</v>
      </c>
      <c r="O30" s="38">
        <v>5</v>
      </c>
      <c r="P30" s="38">
        <v>50</v>
      </c>
      <c r="Q30" s="107">
        <f t="shared" si="2"/>
        <v>62.5</v>
      </c>
      <c r="R30" s="38">
        <v>15</v>
      </c>
      <c r="S30" s="38">
        <v>125</v>
      </c>
      <c r="T30" s="38">
        <v>5</v>
      </c>
      <c r="U30" s="38">
        <v>75</v>
      </c>
      <c r="V30" s="107">
        <f t="shared" si="3"/>
        <v>60</v>
      </c>
      <c r="W30" s="38">
        <v>13</v>
      </c>
      <c r="AF30" s="38" t="s">
        <v>31</v>
      </c>
      <c r="AG30" s="38">
        <v>43.363482142047154</v>
      </c>
      <c r="AH30" s="38">
        <v>73.98100352895284</v>
      </c>
    </row>
    <row r="31" spans="1:34" x14ac:dyDescent="0.25">
      <c r="A31" s="4" t="s">
        <v>26</v>
      </c>
      <c r="B31" s="4">
        <v>54</v>
      </c>
      <c r="C31" s="4" t="s">
        <v>6</v>
      </c>
      <c r="D31" s="104">
        <v>78.8</v>
      </c>
      <c r="E31" s="104">
        <v>90</v>
      </c>
      <c r="F31" s="104">
        <f>P31*R31</f>
        <v>450</v>
      </c>
      <c r="G31" s="104">
        <f>U31*W31</f>
        <v>1050</v>
      </c>
      <c r="H31" s="42">
        <f t="shared" si="10"/>
        <v>35.743121263528408</v>
      </c>
      <c r="I31" s="42">
        <f t="shared" si="8"/>
        <v>40.823361849207579</v>
      </c>
      <c r="J31" s="42">
        <f t="shared" si="8"/>
        <v>204.11680924603789</v>
      </c>
      <c r="K31" s="42">
        <f t="shared" si="9"/>
        <v>476.27255490742175</v>
      </c>
      <c r="L31" s="4"/>
      <c r="M31" s="61" t="s">
        <v>26</v>
      </c>
      <c r="N31" s="38">
        <v>70</v>
      </c>
      <c r="O31" s="38">
        <v>5</v>
      </c>
      <c r="P31" s="38">
        <v>50</v>
      </c>
      <c r="Q31" s="107">
        <f t="shared" si="2"/>
        <v>71.428571428571431</v>
      </c>
      <c r="R31" s="38">
        <v>9</v>
      </c>
      <c r="S31" s="38">
        <v>80</v>
      </c>
      <c r="T31" s="38">
        <v>5</v>
      </c>
      <c r="U31" s="38">
        <v>70</v>
      </c>
      <c r="V31" s="107">
        <f t="shared" si="3"/>
        <v>87.5</v>
      </c>
      <c r="W31" s="38">
        <v>15</v>
      </c>
      <c r="AF31" s="38" t="s">
        <v>32</v>
      </c>
      <c r="AG31" s="38">
        <v>61.235042773811365</v>
      </c>
      <c r="AH31" s="38">
        <v>66.360642650434102</v>
      </c>
    </row>
    <row r="32" spans="1:34" x14ac:dyDescent="0.25">
      <c r="A32" s="21" t="s">
        <v>42</v>
      </c>
      <c r="B32" s="21">
        <v>59</v>
      </c>
      <c r="C32" s="21" t="s">
        <v>6</v>
      </c>
      <c r="D32" s="104"/>
      <c r="E32" s="104"/>
      <c r="F32" s="104"/>
      <c r="G32" s="104"/>
      <c r="H32" s="21"/>
      <c r="I32" s="21"/>
      <c r="J32" s="21"/>
      <c r="K32" s="21"/>
      <c r="L32" s="102"/>
      <c r="M32" s="61" t="s">
        <v>42</v>
      </c>
      <c r="Q32" s="107"/>
      <c r="V32" s="107"/>
      <c r="AF32" s="38" t="s">
        <v>149</v>
      </c>
      <c r="AG32" s="38">
        <v>81.646723698415158</v>
      </c>
      <c r="AH32" s="38">
        <v>112.26424508532084</v>
      </c>
    </row>
    <row r="33" spans="1:34" x14ac:dyDescent="0.25">
      <c r="A33" s="4" t="s">
        <v>28</v>
      </c>
      <c r="B33" s="4">
        <v>70</v>
      </c>
      <c r="C33" s="4" t="s">
        <v>6</v>
      </c>
      <c r="D33" s="104">
        <v>90</v>
      </c>
      <c r="E33" s="104">
        <v>101.3</v>
      </c>
      <c r="F33" s="104">
        <f t="shared" ref="F33:F38" si="11">P33*R33</f>
        <v>1500</v>
      </c>
      <c r="G33" s="104">
        <f t="shared" ref="G33:G38" si="12">U33*W33</f>
        <v>1125</v>
      </c>
      <c r="H33" s="42">
        <f t="shared" si="10"/>
        <v>40.823361849207579</v>
      </c>
      <c r="I33" s="42">
        <f t="shared" si="8"/>
        <v>45.948961725830301</v>
      </c>
      <c r="J33" s="42">
        <f t="shared" si="8"/>
        <v>680.38936415345961</v>
      </c>
      <c r="K33" s="42">
        <f t="shared" si="9"/>
        <v>510.29202311509471</v>
      </c>
      <c r="L33" s="4"/>
      <c r="M33" s="61" t="s">
        <v>28</v>
      </c>
      <c r="N33" s="38">
        <v>80</v>
      </c>
      <c r="O33" s="38">
        <v>5</v>
      </c>
      <c r="P33" s="38">
        <v>50</v>
      </c>
      <c r="Q33" s="107">
        <f t="shared" si="2"/>
        <v>62.5</v>
      </c>
      <c r="R33" s="38">
        <v>30</v>
      </c>
      <c r="S33" s="38">
        <v>90</v>
      </c>
      <c r="T33" s="38">
        <v>5</v>
      </c>
      <c r="U33" s="38">
        <v>75</v>
      </c>
      <c r="V33" s="107">
        <f t="shared" si="3"/>
        <v>83.333333333333329</v>
      </c>
      <c r="W33" s="38">
        <v>15</v>
      </c>
      <c r="AF33" s="38" t="s">
        <v>150</v>
      </c>
      <c r="AG33" s="38">
        <v>38.283241556367997</v>
      </c>
      <c r="AH33" s="38">
        <v>40.823361849207579</v>
      </c>
    </row>
    <row r="34" spans="1:34" x14ac:dyDescent="0.25">
      <c r="A34" s="4" t="s">
        <v>150</v>
      </c>
      <c r="B34" s="4">
        <v>60</v>
      </c>
      <c r="C34" s="4" t="s">
        <v>6</v>
      </c>
      <c r="D34" s="104">
        <v>84.4</v>
      </c>
      <c r="E34" s="104">
        <v>90</v>
      </c>
      <c r="F34" s="104">
        <f t="shared" si="11"/>
        <v>1250</v>
      </c>
      <c r="G34" s="104">
        <f t="shared" si="12"/>
        <v>2000</v>
      </c>
      <c r="H34" s="42">
        <f t="shared" si="10"/>
        <v>38.283241556367997</v>
      </c>
      <c r="I34" s="42">
        <f t="shared" si="8"/>
        <v>40.823361849207579</v>
      </c>
      <c r="J34" s="42">
        <f t="shared" si="8"/>
        <v>566.99113679454967</v>
      </c>
      <c r="K34" s="42">
        <f t="shared" si="9"/>
        <v>907.18581887127948</v>
      </c>
      <c r="L34" s="4"/>
      <c r="M34" s="61" t="s">
        <v>150</v>
      </c>
      <c r="N34" s="38">
        <v>75</v>
      </c>
      <c r="O34" s="38">
        <v>5</v>
      </c>
      <c r="P34" s="38">
        <v>50</v>
      </c>
      <c r="Q34" s="107">
        <f t="shared" si="2"/>
        <v>66.666666666666671</v>
      </c>
      <c r="R34" s="38">
        <v>25</v>
      </c>
      <c r="S34" s="38">
        <v>80</v>
      </c>
      <c r="T34" s="38">
        <v>5</v>
      </c>
      <c r="U34" s="38">
        <v>50</v>
      </c>
      <c r="V34" s="107">
        <f t="shared" si="3"/>
        <v>62.5</v>
      </c>
      <c r="W34" s="38">
        <v>40</v>
      </c>
    </row>
    <row r="35" spans="1:34" x14ac:dyDescent="0.25">
      <c r="A35" s="4" t="s">
        <v>3</v>
      </c>
      <c r="B35" s="4">
        <v>45</v>
      </c>
      <c r="C35" s="4" t="s">
        <v>4</v>
      </c>
      <c r="D35" s="104">
        <v>168.8</v>
      </c>
      <c r="E35" s="104">
        <v>281.3</v>
      </c>
      <c r="F35" s="104">
        <f t="shared" si="11"/>
        <v>1800</v>
      </c>
      <c r="G35" s="104">
        <f t="shared" si="12"/>
        <v>3000</v>
      </c>
      <c r="H35" s="42">
        <f t="shared" si="10"/>
        <v>76.566483112735995</v>
      </c>
      <c r="I35" s="42">
        <f t="shared" si="8"/>
        <v>127.59568542424546</v>
      </c>
      <c r="J35" s="42">
        <f t="shared" si="8"/>
        <v>816.46723698415155</v>
      </c>
      <c r="K35" s="42">
        <f t="shared" si="9"/>
        <v>1360.7787283069192</v>
      </c>
      <c r="L35" s="4"/>
      <c r="M35" s="61" t="s">
        <v>3</v>
      </c>
      <c r="N35" s="38">
        <v>150</v>
      </c>
      <c r="O35" s="38">
        <v>5</v>
      </c>
      <c r="P35" s="38">
        <v>90</v>
      </c>
      <c r="Q35" s="107">
        <f t="shared" si="2"/>
        <v>60</v>
      </c>
      <c r="R35" s="38">
        <v>20</v>
      </c>
      <c r="S35" s="38">
        <v>250</v>
      </c>
      <c r="T35" s="38">
        <v>5</v>
      </c>
      <c r="U35" s="38">
        <v>150</v>
      </c>
      <c r="V35" s="107">
        <f t="shared" si="3"/>
        <v>60</v>
      </c>
      <c r="W35" s="38">
        <v>20</v>
      </c>
    </row>
    <row r="36" spans="1:34" x14ac:dyDescent="0.25">
      <c r="A36" s="4" t="s">
        <v>9</v>
      </c>
      <c r="B36" s="4">
        <v>56</v>
      </c>
      <c r="C36" s="4" t="s">
        <v>4</v>
      </c>
      <c r="D36" s="104">
        <v>286.89999999999998</v>
      </c>
      <c r="E36" s="104">
        <v>292.5</v>
      </c>
      <c r="F36" s="104">
        <f t="shared" si="11"/>
        <v>1740</v>
      </c>
      <c r="G36" s="104">
        <f t="shared" si="12"/>
        <v>2480</v>
      </c>
      <c r="H36" s="42">
        <f t="shared" si="10"/>
        <v>130.13580571708502</v>
      </c>
      <c r="I36" s="42">
        <f t="shared" si="8"/>
        <v>132.67592600992464</v>
      </c>
      <c r="J36" s="42">
        <f t="shared" si="8"/>
        <v>789.2516624180131</v>
      </c>
      <c r="K36" s="42">
        <f t="shared" si="9"/>
        <v>1124.9104154003865</v>
      </c>
      <c r="L36" s="4"/>
      <c r="M36" s="61" t="s">
        <v>9</v>
      </c>
      <c r="N36" s="38">
        <v>255</v>
      </c>
      <c r="O36" s="38">
        <v>5</v>
      </c>
      <c r="P36" s="38">
        <v>145</v>
      </c>
      <c r="Q36" s="107">
        <f t="shared" si="2"/>
        <v>56.862745098039213</v>
      </c>
      <c r="R36" s="38">
        <v>12</v>
      </c>
      <c r="S36" s="38">
        <v>260</v>
      </c>
      <c r="T36" s="38">
        <v>5</v>
      </c>
      <c r="U36" s="38">
        <v>155</v>
      </c>
      <c r="V36" s="107">
        <f t="shared" si="3"/>
        <v>59.615384615384613</v>
      </c>
      <c r="W36" s="38">
        <v>16</v>
      </c>
    </row>
    <row r="37" spans="1:34" x14ac:dyDescent="0.25">
      <c r="A37" s="4" t="s">
        <v>11</v>
      </c>
      <c r="B37" s="4">
        <v>53</v>
      </c>
      <c r="C37" s="4" t="s">
        <v>4</v>
      </c>
      <c r="D37" s="104">
        <v>337.5</v>
      </c>
      <c r="E37" s="104">
        <v>348.8</v>
      </c>
      <c r="F37" s="104">
        <f t="shared" si="11"/>
        <v>2700</v>
      </c>
      <c r="G37" s="104">
        <f t="shared" si="12"/>
        <v>3700</v>
      </c>
      <c r="H37" s="42">
        <f t="shared" si="10"/>
        <v>153.08760693452842</v>
      </c>
      <c r="I37" s="42">
        <f t="shared" si="8"/>
        <v>158.21320681115114</v>
      </c>
      <c r="J37" s="42">
        <f t="shared" si="8"/>
        <v>1224.7008554762274</v>
      </c>
      <c r="K37" s="42">
        <f t="shared" si="9"/>
        <v>1678.2937649118671</v>
      </c>
      <c r="L37" s="4"/>
      <c r="M37" s="61" t="s">
        <v>11</v>
      </c>
      <c r="N37" s="38">
        <v>300</v>
      </c>
      <c r="O37" s="38">
        <v>5</v>
      </c>
      <c r="P37" s="38">
        <v>180</v>
      </c>
      <c r="Q37" s="107">
        <f t="shared" si="2"/>
        <v>60</v>
      </c>
      <c r="R37" s="38">
        <v>15</v>
      </c>
      <c r="S37" s="38">
        <v>310</v>
      </c>
      <c r="T37" s="38">
        <v>5</v>
      </c>
      <c r="U37" s="38">
        <v>185</v>
      </c>
      <c r="V37" s="107">
        <f t="shared" si="3"/>
        <v>59.677419354838712</v>
      </c>
      <c r="W37" s="38">
        <v>20</v>
      </c>
    </row>
    <row r="38" spans="1:34" x14ac:dyDescent="0.25">
      <c r="A38" s="4" t="s">
        <v>12</v>
      </c>
      <c r="B38" s="4">
        <v>46</v>
      </c>
      <c r="C38" s="4" t="s">
        <v>4</v>
      </c>
      <c r="D38" s="104">
        <v>426.7</v>
      </c>
      <c r="E38" s="104">
        <v>663.8</v>
      </c>
      <c r="F38" s="104">
        <f t="shared" si="11"/>
        <v>7800</v>
      </c>
      <c r="G38" s="104">
        <f t="shared" si="12"/>
        <v>8710</v>
      </c>
      <c r="H38" s="42">
        <f t="shared" si="10"/>
        <v>193.54809445618747</v>
      </c>
      <c r="I38" s="42">
        <f t="shared" si="8"/>
        <v>301.09497328337761</v>
      </c>
      <c r="J38" s="42">
        <f t="shared" si="8"/>
        <v>3538.0246935979899</v>
      </c>
      <c r="K38" s="42">
        <f t="shared" si="9"/>
        <v>3950.7942411844219</v>
      </c>
      <c r="L38" s="4"/>
      <c r="M38" s="61" t="s">
        <v>308</v>
      </c>
      <c r="N38" s="38">
        <v>320</v>
      </c>
      <c r="O38" s="38">
        <v>10</v>
      </c>
      <c r="P38" s="38">
        <v>195</v>
      </c>
      <c r="Q38" s="107">
        <f t="shared" si="2"/>
        <v>60.9375</v>
      </c>
      <c r="R38" s="38">
        <v>40</v>
      </c>
      <c r="S38" s="38">
        <v>590</v>
      </c>
      <c r="T38" s="38">
        <v>5</v>
      </c>
      <c r="U38" s="38">
        <v>335</v>
      </c>
      <c r="V38" s="107">
        <f t="shared" si="3"/>
        <v>56.779661016949156</v>
      </c>
      <c r="W38" s="38">
        <v>26</v>
      </c>
    </row>
    <row r="39" spans="1:34" x14ac:dyDescent="0.25">
      <c r="A39" s="4" t="s">
        <v>23</v>
      </c>
      <c r="B39" s="4">
        <v>60</v>
      </c>
      <c r="C39" s="4" t="s">
        <v>4</v>
      </c>
      <c r="D39" s="104"/>
      <c r="E39" s="104"/>
      <c r="F39" s="104"/>
      <c r="G39" s="104"/>
      <c r="H39" s="42"/>
      <c r="I39" s="42"/>
      <c r="J39" s="42"/>
      <c r="K39" s="42"/>
      <c r="L39" s="4"/>
      <c r="M39" s="61" t="s">
        <v>23</v>
      </c>
      <c r="N39" s="106" t="s">
        <v>315</v>
      </c>
      <c r="O39" s="106"/>
      <c r="P39" s="106"/>
      <c r="Q39" s="106"/>
      <c r="R39" s="106"/>
      <c r="S39" s="106"/>
      <c r="T39" s="106"/>
      <c r="U39" s="106"/>
      <c r="V39" s="106"/>
      <c r="W39" s="106"/>
    </row>
    <row r="40" spans="1:34" x14ac:dyDescent="0.25">
      <c r="A40" s="4" t="s">
        <v>27</v>
      </c>
      <c r="B40" s="4">
        <v>63</v>
      </c>
      <c r="C40" s="4" t="s">
        <v>4</v>
      </c>
      <c r="D40" s="104">
        <v>146.30000000000001</v>
      </c>
      <c r="E40" s="104">
        <v>225</v>
      </c>
      <c r="F40" s="104">
        <f>P40*R40</f>
        <v>1820</v>
      </c>
      <c r="G40" s="104">
        <f>U40*W40</f>
        <v>3000</v>
      </c>
      <c r="H40" s="42">
        <f t="shared" si="10"/>
        <v>66.360642650434102</v>
      </c>
      <c r="I40" s="42">
        <f t="shared" si="8"/>
        <v>102.05840462301894</v>
      </c>
      <c r="J40" s="42">
        <f t="shared" si="8"/>
        <v>825.53909517286434</v>
      </c>
      <c r="K40" s="42">
        <f t="shared" si="9"/>
        <v>1360.7787283069192</v>
      </c>
      <c r="L40" s="4"/>
      <c r="M40" s="61" t="s">
        <v>27</v>
      </c>
      <c r="N40" s="38">
        <v>130</v>
      </c>
      <c r="O40" s="38">
        <v>5</v>
      </c>
      <c r="P40" s="38">
        <v>70</v>
      </c>
      <c r="Q40" s="107">
        <f t="shared" si="2"/>
        <v>53.846153846153847</v>
      </c>
      <c r="R40" s="38">
        <v>26</v>
      </c>
      <c r="S40" s="38">
        <v>200</v>
      </c>
      <c r="T40" s="38">
        <v>5</v>
      </c>
      <c r="U40" s="38">
        <v>120</v>
      </c>
      <c r="V40" s="107">
        <f t="shared" si="3"/>
        <v>60</v>
      </c>
      <c r="W40" s="38">
        <v>25</v>
      </c>
    </row>
    <row r="41" spans="1:34" x14ac:dyDescent="0.25">
      <c r="A41" s="4" t="s">
        <v>29</v>
      </c>
      <c r="B41" s="4">
        <v>60</v>
      </c>
      <c r="C41" s="4" t="s">
        <v>4</v>
      </c>
      <c r="D41" s="104"/>
      <c r="E41" s="104"/>
      <c r="F41" s="104"/>
      <c r="G41" s="104"/>
      <c r="H41" s="42"/>
      <c r="I41" s="42"/>
      <c r="J41" s="42"/>
      <c r="K41" s="42"/>
      <c r="L41" s="4"/>
      <c r="M41" s="61" t="s">
        <v>29</v>
      </c>
      <c r="N41" s="106" t="s">
        <v>316</v>
      </c>
      <c r="O41" s="106"/>
      <c r="P41" s="106"/>
      <c r="Q41" s="106"/>
      <c r="R41" s="106"/>
      <c r="S41" s="106"/>
      <c r="T41" s="106"/>
      <c r="U41" s="106"/>
      <c r="V41" s="106"/>
      <c r="W41" s="106"/>
    </row>
    <row r="42" spans="1:34" x14ac:dyDescent="0.25">
      <c r="A42" s="3" t="s">
        <v>33</v>
      </c>
      <c r="B42" s="8">
        <f>AVERAGE(B27:B41)</f>
        <v>56</v>
      </c>
      <c r="C42" s="8"/>
      <c r="D42" s="36">
        <f t="shared" ref="D42:K42" si="13">AVERAGE(D27:D41)</f>
        <v>165.89166666666665</v>
      </c>
      <c r="E42" s="36">
        <f t="shared" si="13"/>
        <v>217.98333333333335</v>
      </c>
      <c r="F42" s="36">
        <f t="shared" si="13"/>
        <v>1946.6666666666667</v>
      </c>
      <c r="G42" s="36">
        <f t="shared" si="13"/>
        <v>2504.1666666666665</v>
      </c>
      <c r="H42" s="6">
        <f t="shared" si="13"/>
        <v>75.247283734460666</v>
      </c>
      <c r="I42" s="6">
        <f t="shared" si="13"/>
        <v>98.875694375145542</v>
      </c>
      <c r="J42" s="6">
        <f t="shared" si="13"/>
        <v>882.9941970347121</v>
      </c>
      <c r="K42" s="6">
        <f t="shared" si="13"/>
        <v>1135.8722440450811</v>
      </c>
      <c r="L42" s="8"/>
      <c r="P42" s="38" t="s">
        <v>318</v>
      </c>
      <c r="Q42" s="107">
        <f>AVERAGE(Q6:Q41)</f>
        <v>60.413303807871017</v>
      </c>
      <c r="U42" s="38" t="s">
        <v>318</v>
      </c>
      <c r="V42" s="107">
        <f>AVERAGE(V6:V41)</f>
        <v>64.513647110333466</v>
      </c>
    </row>
    <row r="43" spans="1:34" x14ac:dyDescent="0.25">
      <c r="A43" s="3" t="s">
        <v>34</v>
      </c>
      <c r="B43" s="8">
        <f>STDEV(B27:B41)</f>
        <v>6.3919592346277412</v>
      </c>
      <c r="C43" s="8"/>
      <c r="D43" s="36">
        <f t="shared" ref="D43:K43" si="14">STDEV(D27:D41)</f>
        <v>118.29924658434746</v>
      </c>
      <c r="E43" s="36">
        <f t="shared" si="14"/>
        <v>165.84467998337442</v>
      </c>
      <c r="F43" s="36">
        <f t="shared" si="14"/>
        <v>1936.8640696348373</v>
      </c>
      <c r="G43" s="36">
        <f t="shared" si="14"/>
        <v>2163.6488890648398</v>
      </c>
      <c r="H43" s="6">
        <f t="shared" si="14"/>
        <v>53.659699442238335</v>
      </c>
      <c r="I43" s="6">
        <f t="shared" si="14"/>
        <v>75.225970908081379</v>
      </c>
      <c r="J43" s="6">
        <f t="shared" si="14"/>
        <v>878.54780852701947</v>
      </c>
      <c r="K43" s="6">
        <f t="shared" si="14"/>
        <v>981.41579458811043</v>
      </c>
      <c r="L43" s="8"/>
    </row>
    <row r="44" spans="1:34" x14ac:dyDescent="0.25">
      <c r="A44" s="3" t="s">
        <v>39</v>
      </c>
      <c r="B44" s="7"/>
      <c r="C44" s="7"/>
      <c r="D44" s="35">
        <f t="shared" ref="D44:K44" si="15">TTEST(D6:D20,D27:D41,2,2)</f>
        <v>0.74101166189782597</v>
      </c>
      <c r="E44" s="35">
        <f t="shared" si="15"/>
        <v>0.45600315626099619</v>
      </c>
      <c r="F44" s="35">
        <f t="shared" si="15"/>
        <v>0.62962227835623608</v>
      </c>
      <c r="G44" s="35">
        <f t="shared" si="15"/>
        <v>0.69622765240520557</v>
      </c>
      <c r="H44" s="7">
        <f t="shared" si="15"/>
        <v>0.74101166189782597</v>
      </c>
      <c r="I44" s="7">
        <f t="shared" si="15"/>
        <v>0.45600315626099619</v>
      </c>
      <c r="J44" s="7">
        <f t="shared" si="15"/>
        <v>0.62962227835623608</v>
      </c>
      <c r="K44" s="7">
        <f t="shared" si="15"/>
        <v>0.69622765240520557</v>
      </c>
      <c r="L44" s="7"/>
    </row>
    <row r="45" spans="1:34" x14ac:dyDescent="0.25">
      <c r="A45" s="3" t="s">
        <v>160</v>
      </c>
      <c r="E45" s="40"/>
      <c r="G45" s="40"/>
      <c r="I45" s="40">
        <f>TTEST(H27:H41,I27:I41,2,1)</f>
        <v>2.063431649256384E-2</v>
      </c>
      <c r="K45" s="40">
        <f>TTEST(J27:J41,K27:K41,2,1)</f>
        <v>3.8655388129241737E-3</v>
      </c>
    </row>
    <row r="46" spans="1:34" x14ac:dyDescent="0.25">
      <c r="I46" s="38">
        <f>(I42-H42)*100/H42</f>
        <v>31.401014718440766</v>
      </c>
    </row>
    <row r="50" spans="13:15" x14ac:dyDescent="0.25">
      <c r="M50" s="4"/>
      <c r="N50" s="4"/>
      <c r="O50" s="4"/>
    </row>
    <row r="51" spans="13:15" x14ac:dyDescent="0.25">
      <c r="M51" s="4"/>
      <c r="N51" s="4"/>
      <c r="O51" s="4"/>
    </row>
  </sheetData>
  <sortState xmlns:xlrd2="http://schemas.microsoft.com/office/spreadsheetml/2017/richdata2" ref="AF4:AH33">
    <sortCondition ref="AF4:AF3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4F55-C986-4A00-9396-9ADAAFF249F8}">
  <dimension ref="A1:P55"/>
  <sheetViews>
    <sheetView zoomScale="60" zoomScaleNormal="60" workbookViewId="0">
      <selection activeCell="H45" sqref="H45"/>
    </sheetView>
  </sheetViews>
  <sheetFormatPr defaultRowHeight="15" x14ac:dyDescent="0.25"/>
  <cols>
    <col min="1" max="1" width="14.28515625" bestFit="1" customWidth="1"/>
    <col min="4" max="4" width="31.28515625" customWidth="1"/>
    <col min="5" max="6" width="18.28515625" customWidth="1"/>
    <col min="7" max="7" width="26.85546875" customWidth="1"/>
    <col min="8" max="9" width="25.42578125" customWidth="1"/>
    <col min="12" max="12" width="12.85546875" customWidth="1"/>
    <col min="13" max="13" width="43.85546875" style="1" bestFit="1" customWidth="1"/>
    <col min="14" max="14" width="36.42578125" style="1" customWidth="1"/>
    <col min="15" max="15" width="34.5703125" style="1" customWidth="1"/>
    <col min="16" max="16" width="4.28515625" style="1" customWidth="1"/>
  </cols>
  <sheetData>
    <row r="1" spans="1:16" x14ac:dyDescent="0.25">
      <c r="A1" s="4" t="s">
        <v>43</v>
      </c>
      <c r="B1" s="4"/>
      <c r="C1" s="4"/>
      <c r="D1" s="95" t="s">
        <v>327</v>
      </c>
      <c r="E1" s="95"/>
      <c r="G1" s="95" t="s">
        <v>328</v>
      </c>
      <c r="K1" t="s">
        <v>0</v>
      </c>
      <c r="L1" t="s">
        <v>294</v>
      </c>
      <c r="M1" s="1" t="s">
        <v>297</v>
      </c>
      <c r="N1" s="1" t="s">
        <v>298</v>
      </c>
      <c r="O1" s="1" t="s">
        <v>299</v>
      </c>
    </row>
    <row r="2" spans="1:16" x14ac:dyDescent="0.25">
      <c r="A2" s="3" t="s">
        <v>0</v>
      </c>
      <c r="B2" s="3" t="s">
        <v>1</v>
      </c>
      <c r="C2" s="3" t="s">
        <v>2</v>
      </c>
      <c r="D2" s="3" t="s">
        <v>243</v>
      </c>
      <c r="E2" s="3" t="s">
        <v>244</v>
      </c>
      <c r="F2" s="95" t="s">
        <v>326</v>
      </c>
      <c r="G2" s="3" t="s">
        <v>243</v>
      </c>
      <c r="H2" s="3" t="s">
        <v>244</v>
      </c>
      <c r="I2" s="95" t="s">
        <v>326</v>
      </c>
      <c r="K2" t="s">
        <v>3</v>
      </c>
      <c r="L2" t="s">
        <v>243</v>
      </c>
      <c r="M2" s="98">
        <v>8.4803462148617026</v>
      </c>
      <c r="N2" s="98">
        <v>6.1783900406426246</v>
      </c>
      <c r="O2" s="98">
        <f>M2-N2</f>
        <v>2.3019561742190779</v>
      </c>
      <c r="P2" s="98"/>
    </row>
    <row r="3" spans="1:16" x14ac:dyDescent="0.25">
      <c r="A3" s="4" t="s">
        <v>10</v>
      </c>
      <c r="B3" s="4">
        <v>59</v>
      </c>
      <c r="C3" s="4" t="s">
        <v>6</v>
      </c>
      <c r="D3" s="91"/>
      <c r="E3" s="91"/>
      <c r="F3" s="91"/>
      <c r="G3" s="91"/>
      <c r="H3" s="91"/>
      <c r="I3" s="91"/>
      <c r="L3" t="s">
        <v>244</v>
      </c>
      <c r="M3" s="98">
        <v>7.1690934206736996</v>
      </c>
      <c r="N3" s="98">
        <v>4.4863933375311378</v>
      </c>
      <c r="O3" s="98">
        <f t="shared" ref="O3:O55" si="0">M3-N3</f>
        <v>2.6827000831425618</v>
      </c>
      <c r="P3" s="98"/>
    </row>
    <row r="4" spans="1:16" x14ac:dyDescent="0.25">
      <c r="A4" s="4" t="s">
        <v>18</v>
      </c>
      <c r="B4" s="4">
        <v>48</v>
      </c>
      <c r="C4" s="4" t="s">
        <v>6</v>
      </c>
      <c r="D4" s="91">
        <v>2.9148662003216623</v>
      </c>
      <c r="E4" s="91">
        <v>3.0329915207344023</v>
      </c>
      <c r="F4" s="91">
        <f t="shared" ref="F4:F17" si="1">E4-D4</f>
        <v>0.11812532041273993</v>
      </c>
      <c r="G4" s="91">
        <v>8.3609158779678285</v>
      </c>
      <c r="H4" s="91">
        <v>11.141537289265644</v>
      </c>
      <c r="I4" s="91">
        <f>(H4-G4)*100/G4</f>
        <v>33.257378161465994</v>
      </c>
      <c r="K4" t="s">
        <v>5</v>
      </c>
      <c r="L4" t="s">
        <v>243</v>
      </c>
      <c r="M4" s="98">
        <v>4.7002436551604836</v>
      </c>
      <c r="N4" s="98">
        <v>3.1360037517479395</v>
      </c>
      <c r="O4" s="98">
        <f t="shared" si="0"/>
        <v>1.564239903412544</v>
      </c>
      <c r="P4" s="98"/>
    </row>
    <row r="5" spans="1:16" x14ac:dyDescent="0.25">
      <c r="A5" s="21" t="s">
        <v>20</v>
      </c>
      <c r="B5" s="21">
        <v>44</v>
      </c>
      <c r="C5" s="21" t="s">
        <v>6</v>
      </c>
      <c r="D5" s="91"/>
      <c r="E5" s="91"/>
      <c r="F5" s="91"/>
      <c r="G5" s="91"/>
      <c r="H5" s="91"/>
      <c r="I5" s="91"/>
      <c r="L5" t="s">
        <v>244</v>
      </c>
      <c r="M5" s="98">
        <v>9.4696138039975128</v>
      </c>
      <c r="N5" s="98">
        <v>6.7630816382878622</v>
      </c>
      <c r="O5" s="98">
        <f t="shared" si="0"/>
        <v>2.7065321657096506</v>
      </c>
      <c r="P5" s="98"/>
    </row>
    <row r="6" spans="1:16" x14ac:dyDescent="0.25">
      <c r="A6" s="4" t="s">
        <v>21</v>
      </c>
      <c r="B6" s="4">
        <v>63</v>
      </c>
      <c r="C6" s="4" t="s">
        <v>6</v>
      </c>
      <c r="D6" s="91">
        <v>3.495508220468448</v>
      </c>
      <c r="E6" s="91">
        <v>3.4555285386603947</v>
      </c>
      <c r="F6" s="91">
        <f t="shared" si="1"/>
        <v>-3.9979681808053336E-2</v>
      </c>
      <c r="G6" s="91">
        <v>8.2612063152458362</v>
      </c>
      <c r="H6" s="91">
        <v>9.8877150778076199</v>
      </c>
      <c r="I6" s="91">
        <f t="shared" ref="I6:I17" si="2">(H6-G6)*100/G6</f>
        <v>19.688514007453186</v>
      </c>
      <c r="K6" t="s">
        <v>7</v>
      </c>
      <c r="L6" t="s">
        <v>243</v>
      </c>
      <c r="M6" s="98">
        <v>5.4813737355153798</v>
      </c>
      <c r="N6" s="98">
        <v>3.9771092590409984</v>
      </c>
      <c r="O6" s="98">
        <f t="shared" si="0"/>
        <v>1.5042644764743813</v>
      </c>
      <c r="P6" s="98"/>
    </row>
    <row r="7" spans="1:16" x14ac:dyDescent="0.25">
      <c r="A7" s="4" t="s">
        <v>24</v>
      </c>
      <c r="B7" s="4">
        <v>54</v>
      </c>
      <c r="C7" s="4" t="s">
        <v>6</v>
      </c>
      <c r="D7" s="91">
        <v>5.5206461145069934</v>
      </c>
      <c r="E7" s="91">
        <v>3.618541529264836</v>
      </c>
      <c r="F7" s="91">
        <f t="shared" si="1"/>
        <v>-1.9021045852421574</v>
      </c>
      <c r="G7" s="91">
        <v>12.898893543644782</v>
      </c>
      <c r="H7" s="91">
        <v>10.484937835903624</v>
      </c>
      <c r="I7" s="91">
        <f t="shared" si="2"/>
        <v>-18.714440115140739</v>
      </c>
      <c r="L7" t="s">
        <v>244</v>
      </c>
      <c r="M7" s="98">
        <v>8.0867360845313119</v>
      </c>
      <c r="N7" s="98">
        <v>5.3367711530420578</v>
      </c>
      <c r="O7" s="98">
        <f t="shared" si="0"/>
        <v>2.749964931489254</v>
      </c>
      <c r="P7" s="98"/>
    </row>
    <row r="8" spans="1:16" x14ac:dyDescent="0.25">
      <c r="A8" s="4" t="s">
        <v>25</v>
      </c>
      <c r="B8" s="4">
        <v>52</v>
      </c>
      <c r="C8" s="4" t="s">
        <v>6</v>
      </c>
      <c r="D8" s="91">
        <v>1.3627775657975403</v>
      </c>
      <c r="E8" s="91">
        <v>4.1439690065627097</v>
      </c>
      <c r="F8" s="91">
        <f t="shared" si="1"/>
        <v>2.7811914407651694</v>
      </c>
      <c r="G8" s="91">
        <v>4.7035083075874997</v>
      </c>
      <c r="H8" s="91">
        <v>11.049008404251698</v>
      </c>
      <c r="I8" s="91">
        <f t="shared" si="2"/>
        <v>134.90993704482051</v>
      </c>
      <c r="K8" t="s">
        <v>8</v>
      </c>
      <c r="L8" t="s">
        <v>243</v>
      </c>
      <c r="M8" s="98">
        <v>7.2665193761972926</v>
      </c>
      <c r="N8" s="98">
        <v>4.5595297300795252</v>
      </c>
      <c r="O8" s="98">
        <f t="shared" si="0"/>
        <v>2.7069896461177674</v>
      </c>
      <c r="P8" s="98"/>
    </row>
    <row r="9" spans="1:16" x14ac:dyDescent="0.25">
      <c r="A9" s="4" t="s">
        <v>31</v>
      </c>
      <c r="B9" s="4">
        <v>57</v>
      </c>
      <c r="C9" s="4" t="s">
        <v>6</v>
      </c>
      <c r="D9" s="91">
        <v>1.7741835836889299</v>
      </c>
      <c r="E9" s="91">
        <v>1.1841174899452191</v>
      </c>
      <c r="F9" s="91">
        <f t="shared" si="1"/>
        <v>-0.59006609374371077</v>
      </c>
      <c r="G9" s="91">
        <v>6.0561978493471731</v>
      </c>
      <c r="H9" s="91">
        <v>5.983066184790764</v>
      </c>
      <c r="I9" s="91">
        <f t="shared" si="2"/>
        <v>-1.2075507831087831</v>
      </c>
      <c r="L9" t="s">
        <v>244</v>
      </c>
      <c r="M9" s="98">
        <v>7.868659199750426</v>
      </c>
      <c r="N9" s="98">
        <v>4.4001723660105494</v>
      </c>
      <c r="O9" s="98">
        <f t="shared" si="0"/>
        <v>3.4684868337398767</v>
      </c>
      <c r="P9" s="98"/>
    </row>
    <row r="10" spans="1:16" x14ac:dyDescent="0.25">
      <c r="A10" s="4" t="s">
        <v>32</v>
      </c>
      <c r="B10" s="4">
        <v>61</v>
      </c>
      <c r="C10" s="4" t="s">
        <v>6</v>
      </c>
      <c r="D10" s="91">
        <v>2.8547859683854888</v>
      </c>
      <c r="E10" s="91">
        <v>3.1754346783675675</v>
      </c>
      <c r="F10" s="91">
        <f t="shared" si="1"/>
        <v>0.32064870998207873</v>
      </c>
      <c r="G10" s="91">
        <v>8.6473559936140862</v>
      </c>
      <c r="H10" s="91">
        <v>10.838349997158355</v>
      </c>
      <c r="I10" s="91">
        <f t="shared" si="2"/>
        <v>25.337155139238835</v>
      </c>
      <c r="K10" t="s">
        <v>9</v>
      </c>
      <c r="L10" t="s">
        <v>243</v>
      </c>
      <c r="M10" s="98">
        <v>8.8838600036384161</v>
      </c>
      <c r="N10" s="98">
        <v>5.9704142856812439</v>
      </c>
      <c r="O10" s="98">
        <f t="shared" si="0"/>
        <v>2.9134457179571722</v>
      </c>
      <c r="P10" s="98"/>
    </row>
    <row r="11" spans="1:16" x14ac:dyDescent="0.25">
      <c r="A11" s="4" t="s">
        <v>7</v>
      </c>
      <c r="B11" s="4">
        <v>42</v>
      </c>
      <c r="C11" s="4" t="s">
        <v>4</v>
      </c>
      <c r="D11" s="91">
        <v>1.5042644764743813</v>
      </c>
      <c r="E11" s="91">
        <v>2.749964931489254</v>
      </c>
      <c r="F11" s="91">
        <f t="shared" si="1"/>
        <v>1.2457004550148727</v>
      </c>
      <c r="G11" s="91">
        <v>5.4813737355153798</v>
      </c>
      <c r="H11" s="91">
        <v>8.0867360845313119</v>
      </c>
      <c r="I11" s="91">
        <f t="shared" si="2"/>
        <v>47.531193360070461</v>
      </c>
      <c r="L11" t="s">
        <v>244</v>
      </c>
      <c r="M11" s="98">
        <v>7.920581896051532</v>
      </c>
      <c r="N11" s="98">
        <v>5.2862237048475356</v>
      </c>
      <c r="O11" s="98">
        <f t="shared" si="0"/>
        <v>2.6343581912039964</v>
      </c>
      <c r="P11" s="98"/>
    </row>
    <row r="12" spans="1:16" x14ac:dyDescent="0.25">
      <c r="A12" s="4" t="s">
        <v>8</v>
      </c>
      <c r="B12" s="4">
        <v>55</v>
      </c>
      <c r="C12" s="4" t="s">
        <v>4</v>
      </c>
      <c r="D12" s="91">
        <v>2.7069896461177674</v>
      </c>
      <c r="E12" s="91">
        <v>3.4684868337398767</v>
      </c>
      <c r="F12" s="91">
        <f t="shared" si="1"/>
        <v>0.76149718762210927</v>
      </c>
      <c r="G12" s="91">
        <v>7.2665193761972926</v>
      </c>
      <c r="H12" s="91">
        <v>7.868659199750426</v>
      </c>
      <c r="I12" s="91">
        <f t="shared" si="2"/>
        <v>8.2864958087849292</v>
      </c>
      <c r="K12" t="s">
        <v>10</v>
      </c>
      <c r="L12" t="s">
        <v>243</v>
      </c>
      <c r="M12" s="98">
        <v>11.198646968689467</v>
      </c>
      <c r="N12" s="98">
        <v>6.9164342723133085</v>
      </c>
      <c r="O12" s="98">
        <f t="shared" si="0"/>
        <v>4.282212696376158</v>
      </c>
      <c r="P12" s="98"/>
    </row>
    <row r="13" spans="1:16" x14ac:dyDescent="0.25">
      <c r="A13" s="4" t="s">
        <v>13</v>
      </c>
      <c r="B13" s="4">
        <v>44</v>
      </c>
      <c r="C13" s="4" t="s">
        <v>4</v>
      </c>
      <c r="D13" s="91">
        <v>3.3054854707373655</v>
      </c>
      <c r="E13" s="91">
        <v>3.4455726492533296</v>
      </c>
      <c r="F13" s="91">
        <f t="shared" si="1"/>
        <v>0.14008717851596408</v>
      </c>
      <c r="G13" s="91">
        <v>7.6674975280563178</v>
      </c>
      <c r="H13" s="91">
        <v>8.6806816552286445</v>
      </c>
      <c r="I13" s="91">
        <f t="shared" si="2"/>
        <v>13.21401309181987</v>
      </c>
      <c r="L13" t="s">
        <v>244</v>
      </c>
      <c r="M13" s="98">
        <v>6.5754910416578696</v>
      </c>
      <c r="N13" s="98">
        <v>3.9929763842491486</v>
      </c>
      <c r="O13" s="98">
        <f t="shared" si="0"/>
        <v>2.582514657408721</v>
      </c>
      <c r="P13" s="98"/>
    </row>
    <row r="14" spans="1:16" x14ac:dyDescent="0.25">
      <c r="A14" s="4" t="s">
        <v>16</v>
      </c>
      <c r="B14" s="4">
        <v>64</v>
      </c>
      <c r="C14" s="4" t="s">
        <v>4</v>
      </c>
      <c r="D14" s="91">
        <v>2.9182391869279982</v>
      </c>
      <c r="E14" s="91">
        <v>3.6906992524635154</v>
      </c>
      <c r="F14" s="91">
        <f t="shared" si="1"/>
        <v>0.77246006553551716</v>
      </c>
      <c r="G14" s="91">
        <v>9.0440800979829401</v>
      </c>
      <c r="H14" s="91">
        <v>8.5784078606569736</v>
      </c>
      <c r="I14" s="91">
        <f t="shared" si="2"/>
        <v>-5.1489176597388084</v>
      </c>
      <c r="K14" t="s">
        <v>11</v>
      </c>
      <c r="L14" t="s">
        <v>243</v>
      </c>
      <c r="M14" s="98">
        <v>7.8442146219656417</v>
      </c>
      <c r="N14" s="98">
        <v>5.2357750813176027</v>
      </c>
      <c r="O14" s="98">
        <f t="shared" si="0"/>
        <v>2.608439540648039</v>
      </c>
      <c r="P14" s="98"/>
    </row>
    <row r="15" spans="1:16" x14ac:dyDescent="0.25">
      <c r="A15" s="4" t="s">
        <v>17</v>
      </c>
      <c r="B15" s="4">
        <v>69</v>
      </c>
      <c r="C15" s="4" t="s">
        <v>4</v>
      </c>
      <c r="D15" s="91">
        <v>3.2619135995415593</v>
      </c>
      <c r="E15" s="91">
        <v>2.4468038401171981</v>
      </c>
      <c r="F15" s="91">
        <f t="shared" si="1"/>
        <v>-0.81510975942436126</v>
      </c>
      <c r="G15" s="91">
        <v>7.5857225348964414</v>
      </c>
      <c r="H15" s="91">
        <v>8.0994695259006857</v>
      </c>
      <c r="I15" s="91">
        <f t="shared" si="2"/>
        <v>6.7725518385475425</v>
      </c>
      <c r="L15" t="s">
        <v>244</v>
      </c>
      <c r="M15" s="98">
        <v>9.7836973353529011</v>
      </c>
      <c r="N15" s="98">
        <v>5.7814408331006302</v>
      </c>
      <c r="O15" s="98">
        <f t="shared" si="0"/>
        <v>4.0022565022522709</v>
      </c>
      <c r="P15" s="98"/>
    </row>
    <row r="16" spans="1:16" x14ac:dyDescent="0.25">
      <c r="A16" s="4" t="s">
        <v>30</v>
      </c>
      <c r="B16" s="4">
        <v>50</v>
      </c>
      <c r="C16" s="4" t="s">
        <v>4</v>
      </c>
      <c r="D16" s="91">
        <v>3.3513177359542015</v>
      </c>
      <c r="E16" s="91">
        <v>2.8232641396343992</v>
      </c>
      <c r="F16" s="91">
        <f t="shared" si="1"/>
        <v>-0.52805359631980231</v>
      </c>
      <c r="G16" s="91">
        <v>8.7595849090499129</v>
      </c>
      <c r="H16" s="91">
        <v>7.5565885325975017</v>
      </c>
      <c r="I16" s="91">
        <f t="shared" si="2"/>
        <v>-13.733486106282761</v>
      </c>
      <c r="K16" t="s">
        <v>13</v>
      </c>
      <c r="L16" t="s">
        <v>243</v>
      </c>
      <c r="M16" s="98">
        <v>7.6674975280563178</v>
      </c>
      <c r="N16" s="98">
        <v>4.3620120573189523</v>
      </c>
      <c r="O16" s="98">
        <f t="shared" si="0"/>
        <v>3.3054854707373655</v>
      </c>
      <c r="P16" s="98"/>
    </row>
    <row r="17" spans="1:16" x14ac:dyDescent="0.25">
      <c r="A17" s="4" t="s">
        <v>149</v>
      </c>
      <c r="B17" s="4">
        <v>63</v>
      </c>
      <c r="C17" s="4" t="s">
        <v>4</v>
      </c>
      <c r="D17" s="91">
        <v>1.8428560372349292</v>
      </c>
      <c r="E17" s="91">
        <v>2.1700588775949621</v>
      </c>
      <c r="F17" s="91">
        <f t="shared" si="1"/>
        <v>0.32720284036003289</v>
      </c>
      <c r="G17" s="91">
        <v>5.5157244985913172</v>
      </c>
      <c r="H17" s="91">
        <v>7.3971048061734663</v>
      </c>
      <c r="I17" s="91">
        <f t="shared" si="2"/>
        <v>34.10939592908678</v>
      </c>
      <c r="L17" t="s">
        <v>244</v>
      </c>
      <c r="M17" s="98">
        <v>8.6806816552286445</v>
      </c>
      <c r="N17" s="98">
        <v>5.2351090059753149</v>
      </c>
      <c r="O17" s="98">
        <f t="shared" si="0"/>
        <v>3.4455726492533296</v>
      </c>
      <c r="P17" s="98"/>
    </row>
    <row r="18" spans="1:16" x14ac:dyDescent="0.25">
      <c r="A18" s="3" t="s">
        <v>33</v>
      </c>
      <c r="B18" s="8">
        <f>AVERAGE(B3:B17)</f>
        <v>55</v>
      </c>
      <c r="C18" s="8"/>
      <c r="D18" s="94">
        <f t="shared" ref="D18:F18" si="3">AVERAGE(D3:D17)</f>
        <v>2.8318333697044054</v>
      </c>
      <c r="E18" s="94">
        <f t="shared" si="3"/>
        <v>3.0311871759867426</v>
      </c>
      <c r="F18" s="94">
        <f t="shared" si="3"/>
        <v>0.1993538062823384</v>
      </c>
      <c r="G18" s="94">
        <f t="shared" ref="G18" si="4">AVERAGE(G3:G17)</f>
        <v>7.7114292744382151</v>
      </c>
      <c r="H18" s="94">
        <f t="shared" ref="H18:I18" si="5">AVERAGE(H3:H17)</f>
        <v>8.8963278810782089</v>
      </c>
      <c r="I18" s="94">
        <f t="shared" si="5"/>
        <v>21.869403055155153</v>
      </c>
      <c r="K18" t="s">
        <v>14</v>
      </c>
      <c r="L18" t="s">
        <v>243</v>
      </c>
      <c r="M18" s="98">
        <v>6.8671136736493619</v>
      </c>
      <c r="N18" s="98">
        <v>4.6366663009727915</v>
      </c>
      <c r="O18" s="98">
        <f t="shared" si="0"/>
        <v>2.2304473726765703</v>
      </c>
      <c r="P18" s="98"/>
    </row>
    <row r="19" spans="1:16" x14ac:dyDescent="0.25">
      <c r="A19" s="3" t="s">
        <v>34</v>
      </c>
      <c r="B19" s="8">
        <f>STDEV(B3:B17)</f>
        <v>8.2635170651311842</v>
      </c>
      <c r="C19" s="8"/>
      <c r="D19" s="94">
        <f t="shared" ref="D19:E19" si="6">STDEV(D3:D17)</f>
        <v>1.0953345819282105</v>
      </c>
      <c r="E19" s="94">
        <f t="shared" si="6"/>
        <v>0.77454704037642363</v>
      </c>
      <c r="F19" s="94">
        <f t="shared" ref="F19" si="7">STDEV(F3:F17)</f>
        <v>1.1217991798475897</v>
      </c>
      <c r="G19" s="94">
        <f t="shared" ref="G19:I19" si="8">STDEV(G3:G17)</f>
        <v>2.1051869324289241</v>
      </c>
      <c r="H19" s="94">
        <f t="shared" si="8"/>
        <v>1.6323996986137035</v>
      </c>
      <c r="I19" s="94">
        <f t="shared" si="8"/>
        <v>39.155087310600912</v>
      </c>
      <c r="L19" t="s">
        <v>244</v>
      </c>
      <c r="M19" s="98">
        <v>11.825840895776452</v>
      </c>
      <c r="N19" s="98">
        <v>8.1635514190864633</v>
      </c>
      <c r="O19" s="98">
        <f t="shared" si="0"/>
        <v>3.6622894766899883</v>
      </c>
      <c r="P19" s="98"/>
    </row>
    <row r="20" spans="1:16" x14ac:dyDescent="0.25">
      <c r="A20" s="3" t="s">
        <v>160</v>
      </c>
      <c r="B20" s="38"/>
      <c r="C20" s="38"/>
      <c r="E20" s="96">
        <f>TTEST(D3:D17,E3:E17,2,1)</f>
        <v>0.53373748889516914</v>
      </c>
      <c r="F20" s="96"/>
      <c r="H20" s="96">
        <f>TTEST(G3:G17,H3:H17,2,1)</f>
        <v>7.2871540545096258E-2</v>
      </c>
      <c r="I20" s="96"/>
      <c r="K20" t="s">
        <v>16</v>
      </c>
      <c r="L20" t="s">
        <v>243</v>
      </c>
      <c r="M20" s="98">
        <v>9.0440800979829401</v>
      </c>
      <c r="N20" s="98">
        <v>6.1258409110549419</v>
      </c>
      <c r="O20" s="98">
        <f t="shared" si="0"/>
        <v>2.9182391869279982</v>
      </c>
      <c r="P20" s="98"/>
    </row>
    <row r="21" spans="1:16" x14ac:dyDescent="0.25">
      <c r="A21" s="38"/>
      <c r="B21" s="4"/>
      <c r="C21" s="4"/>
      <c r="E21">
        <f>(E18-D18)*100/D18</f>
        <v>7.0397435249923035</v>
      </c>
      <c r="H21">
        <f>(H18-G18)*100/G18</f>
        <v>15.365486273312346</v>
      </c>
      <c r="L21" t="s">
        <v>244</v>
      </c>
      <c r="M21" s="98">
        <v>8.5784078606569736</v>
      </c>
      <c r="N21" s="98">
        <v>4.8877086081934582</v>
      </c>
      <c r="O21" s="98">
        <f t="shared" si="0"/>
        <v>3.6906992524635154</v>
      </c>
      <c r="P21" s="98"/>
    </row>
    <row r="22" spans="1:16" x14ac:dyDescent="0.25">
      <c r="K22" s="109" t="s">
        <v>17</v>
      </c>
      <c r="L22" s="109" t="s">
        <v>243</v>
      </c>
      <c r="M22" s="98">
        <v>7.5857225348964414</v>
      </c>
      <c r="N22" s="98">
        <v>4.3238089353548821</v>
      </c>
      <c r="O22" s="98">
        <f t="shared" si="0"/>
        <v>3.2619135995415593</v>
      </c>
      <c r="P22" s="98"/>
    </row>
    <row r="23" spans="1:16" x14ac:dyDescent="0.25">
      <c r="A23" s="4" t="s">
        <v>44</v>
      </c>
      <c r="B23" s="38"/>
      <c r="C23" s="38"/>
      <c r="D23" s="95" t="s">
        <v>295</v>
      </c>
      <c r="E23" s="95"/>
      <c r="F23" s="95"/>
      <c r="G23" s="95" t="s">
        <v>296</v>
      </c>
      <c r="I23" s="95"/>
      <c r="K23" s="109"/>
      <c r="L23" s="109" t="s">
        <v>244</v>
      </c>
      <c r="M23" s="98">
        <v>8.0994695259006857</v>
      </c>
      <c r="N23" s="98">
        <v>5.6526656857834876</v>
      </c>
      <c r="O23" s="98">
        <f t="shared" si="0"/>
        <v>2.4468038401171981</v>
      </c>
      <c r="P23" s="98"/>
    </row>
    <row r="24" spans="1:16" x14ac:dyDescent="0.25">
      <c r="A24" s="3" t="s">
        <v>0</v>
      </c>
      <c r="B24" s="3" t="s">
        <v>1</v>
      </c>
      <c r="C24" s="3" t="s">
        <v>2</v>
      </c>
      <c r="D24" s="3" t="s">
        <v>243</v>
      </c>
      <c r="E24" s="3" t="s">
        <v>244</v>
      </c>
      <c r="F24" s="95" t="s">
        <v>326</v>
      </c>
      <c r="G24" s="3" t="s">
        <v>243</v>
      </c>
      <c r="H24" s="3" t="s">
        <v>244</v>
      </c>
      <c r="I24" s="95" t="s">
        <v>326</v>
      </c>
      <c r="K24" s="109" t="s">
        <v>18</v>
      </c>
      <c r="L24" s="109" t="s">
        <v>243</v>
      </c>
      <c r="M24" s="98">
        <v>8.3609158779678285</v>
      </c>
      <c r="N24" s="98">
        <v>5.4460496776461662</v>
      </c>
      <c r="O24" s="98">
        <f t="shared" si="0"/>
        <v>2.9148662003216623</v>
      </c>
      <c r="P24" s="98"/>
    </row>
    <row r="25" spans="1:16" x14ac:dyDescent="0.25">
      <c r="A25" s="4" t="s">
        <v>5</v>
      </c>
      <c r="B25" s="4">
        <v>51</v>
      </c>
      <c r="C25" s="4" t="s">
        <v>6</v>
      </c>
      <c r="D25" s="91">
        <v>1.564239903412544</v>
      </c>
      <c r="E25" s="91">
        <v>2.7065321657096506</v>
      </c>
      <c r="F25" s="91">
        <f>E25-D25</f>
        <v>1.1422922622971066</v>
      </c>
      <c r="G25" s="91">
        <v>4.7002436551604836</v>
      </c>
      <c r="H25" s="91">
        <v>9.4696138039975128</v>
      </c>
      <c r="I25" s="91">
        <f>(H25-G25)*100/G25</f>
        <v>101.47070021786318</v>
      </c>
      <c r="K25" s="109"/>
      <c r="L25" s="109" t="s">
        <v>244</v>
      </c>
      <c r="M25" s="98">
        <v>11.141537289265644</v>
      </c>
      <c r="N25" s="98">
        <v>8.1085457685312416</v>
      </c>
      <c r="O25" s="98">
        <f t="shared" si="0"/>
        <v>3.0329915207344023</v>
      </c>
      <c r="P25" s="98"/>
    </row>
    <row r="26" spans="1:16" x14ac:dyDescent="0.25">
      <c r="A26" s="4" t="s">
        <v>14</v>
      </c>
      <c r="B26" s="4">
        <v>55</v>
      </c>
      <c r="C26" s="4" t="s">
        <v>6</v>
      </c>
      <c r="D26" s="91">
        <v>2.2304473726765703</v>
      </c>
      <c r="E26" s="91">
        <v>3.6622894766899883</v>
      </c>
      <c r="F26" s="91">
        <f>E26-D26</f>
        <v>1.4318421040134179</v>
      </c>
      <c r="G26" s="91">
        <v>6.8671136736493619</v>
      </c>
      <c r="H26" s="91">
        <v>11.825840895776452</v>
      </c>
      <c r="I26" s="91">
        <f t="shared" ref="I26:I39" si="9">(H26-G26)*100/G26</f>
        <v>72.209773389289097</v>
      </c>
      <c r="K26" s="109" t="s">
        <v>19</v>
      </c>
      <c r="L26" s="109" t="s">
        <v>243</v>
      </c>
      <c r="M26" s="98">
        <v>11.301749306248391</v>
      </c>
      <c r="N26" s="98">
        <v>4.2953651434344913</v>
      </c>
      <c r="O26" s="98">
        <f t="shared" si="0"/>
        <v>7.0063841628138999</v>
      </c>
      <c r="P26" s="98"/>
    </row>
    <row r="27" spans="1:16" x14ac:dyDescent="0.25">
      <c r="A27" s="4" t="s">
        <v>19</v>
      </c>
      <c r="B27" s="4">
        <v>53</v>
      </c>
      <c r="C27" s="4" t="s">
        <v>6</v>
      </c>
      <c r="D27" s="91">
        <v>7.0063841628138999</v>
      </c>
      <c r="E27" s="91">
        <v>2.8860026082537846</v>
      </c>
      <c r="F27" s="91">
        <f>E27-D27</f>
        <v>-4.1203815545601152</v>
      </c>
      <c r="G27" s="91">
        <v>11.301749306248391</v>
      </c>
      <c r="H27" s="91">
        <v>8.0703363841927018</v>
      </c>
      <c r="I27" s="91">
        <f t="shared" si="9"/>
        <v>-28.592148299282659</v>
      </c>
      <c r="K27" s="109"/>
      <c r="L27" s="109" t="s">
        <v>244</v>
      </c>
      <c r="M27" s="98">
        <v>8.0703363841927018</v>
      </c>
      <c r="N27" s="98">
        <v>5.1843337759389172</v>
      </c>
      <c r="O27" s="98">
        <f t="shared" si="0"/>
        <v>2.8860026082537846</v>
      </c>
      <c r="P27" s="98"/>
    </row>
    <row r="28" spans="1:16" x14ac:dyDescent="0.25">
      <c r="A28" s="4" t="s">
        <v>22</v>
      </c>
      <c r="B28" s="4">
        <v>55</v>
      </c>
      <c r="C28" s="4" t="s">
        <v>6</v>
      </c>
      <c r="D28" s="91">
        <v>4.5903374707425328</v>
      </c>
      <c r="E28" s="91">
        <v>3.4159822119266341</v>
      </c>
      <c r="F28" s="91">
        <f t="shared" ref="F28:F39" si="10">E28-D28</f>
        <v>-1.1743552588158988</v>
      </c>
      <c r="G28" s="91">
        <v>12.309464772875888</v>
      </c>
      <c r="H28" s="91">
        <v>10.66939884935514</v>
      </c>
      <c r="I28" s="91">
        <f t="shared" si="9"/>
        <v>-13.323616857287416</v>
      </c>
      <c r="K28" s="109" t="s">
        <v>21</v>
      </c>
      <c r="L28" s="109" t="s">
        <v>243</v>
      </c>
      <c r="M28" s="98">
        <v>8.2612063152458362</v>
      </c>
      <c r="N28" s="98">
        <v>4.7656980947773881</v>
      </c>
      <c r="O28" s="98">
        <f t="shared" si="0"/>
        <v>3.495508220468448</v>
      </c>
      <c r="P28" s="98"/>
    </row>
    <row r="29" spans="1:16" x14ac:dyDescent="0.25">
      <c r="A29" s="4" t="s">
        <v>26</v>
      </c>
      <c r="B29" s="4">
        <v>54</v>
      </c>
      <c r="C29" s="4" t="s">
        <v>6</v>
      </c>
      <c r="D29" s="91">
        <v>3.0953502355767126</v>
      </c>
      <c r="E29" s="91">
        <v>2.04682380152002</v>
      </c>
      <c r="F29" s="91">
        <f t="shared" si="10"/>
        <v>-1.0485264340566927</v>
      </c>
      <c r="G29" s="91">
        <v>6.7886102859974793</v>
      </c>
      <c r="H29" s="91">
        <v>8.1543317504557322</v>
      </c>
      <c r="I29" s="91">
        <f t="shared" si="9"/>
        <v>20.117835711901993</v>
      </c>
      <c r="K29" s="109"/>
      <c r="L29" s="109" t="s">
        <v>244</v>
      </c>
      <c r="M29" s="98">
        <v>9.8877150778076199</v>
      </c>
      <c r="N29" s="98">
        <v>6.4321865391472253</v>
      </c>
      <c r="O29" s="98">
        <f t="shared" si="0"/>
        <v>3.4555285386603947</v>
      </c>
      <c r="P29" s="98"/>
    </row>
    <row r="30" spans="1:16" x14ac:dyDescent="0.25">
      <c r="A30" s="21" t="s">
        <v>42</v>
      </c>
      <c r="B30" s="21">
        <v>59</v>
      </c>
      <c r="C30" s="21" t="s">
        <v>6</v>
      </c>
      <c r="D30" s="91"/>
      <c r="E30" s="91"/>
      <c r="F30" s="91"/>
      <c r="G30" s="91"/>
      <c r="H30" s="91"/>
      <c r="I30" s="91"/>
      <c r="K30" s="109" t="s">
        <v>22</v>
      </c>
      <c r="L30" s="109" t="s">
        <v>243</v>
      </c>
      <c r="M30" s="98">
        <v>12.309464772875888</v>
      </c>
      <c r="N30" s="98">
        <v>7.7191273021333551</v>
      </c>
      <c r="O30" s="98">
        <f t="shared" si="0"/>
        <v>4.5903374707425328</v>
      </c>
      <c r="P30" s="98"/>
    </row>
    <row r="31" spans="1:16" x14ac:dyDescent="0.25">
      <c r="A31" s="4" t="s">
        <v>28</v>
      </c>
      <c r="B31" s="4">
        <v>70</v>
      </c>
      <c r="C31" s="4" t="s">
        <v>6</v>
      </c>
      <c r="D31" s="91">
        <v>3.5543556072296294</v>
      </c>
      <c r="E31" s="91">
        <v>3.5143336330928836</v>
      </c>
      <c r="F31" s="91">
        <f t="shared" si="10"/>
        <v>-4.0021974136745797E-2</v>
      </c>
      <c r="G31" s="91">
        <v>11.864900904556418</v>
      </c>
      <c r="H31" s="91">
        <v>14.116592225191335</v>
      </c>
      <c r="I31" s="91">
        <f t="shared" si="9"/>
        <v>18.977750751969715</v>
      </c>
      <c r="K31" s="109"/>
      <c r="L31" s="109" t="s">
        <v>244</v>
      </c>
      <c r="M31" s="98">
        <v>10.66939884935514</v>
      </c>
      <c r="N31" s="98">
        <v>7.2534166374285061</v>
      </c>
      <c r="O31" s="98">
        <f t="shared" si="0"/>
        <v>3.4159822119266341</v>
      </c>
      <c r="P31" s="98"/>
    </row>
    <row r="32" spans="1:16" x14ac:dyDescent="0.25">
      <c r="A32" s="4" t="s">
        <v>150</v>
      </c>
      <c r="B32" s="4">
        <v>60</v>
      </c>
      <c r="C32" s="4" t="s">
        <v>6</v>
      </c>
      <c r="D32" s="91">
        <v>8.7220179291028792</v>
      </c>
      <c r="E32" s="91">
        <v>4.632596612590131</v>
      </c>
      <c r="F32" s="91">
        <f t="shared" si="10"/>
        <v>-4.0894213165127482</v>
      </c>
      <c r="G32" s="91">
        <v>13.572607150682582</v>
      </c>
      <c r="H32" s="91">
        <v>15.01557632686613</v>
      </c>
      <c r="I32" s="91">
        <f t="shared" si="9"/>
        <v>10.631481189750481</v>
      </c>
      <c r="K32" s="109" t="s">
        <v>23</v>
      </c>
      <c r="L32" s="109" t="s">
        <v>243</v>
      </c>
      <c r="M32" s="98">
        <v>8.3727936735511754</v>
      </c>
      <c r="N32" s="98">
        <v>6.2608728783422984</v>
      </c>
      <c r="O32" s="98">
        <f t="shared" si="0"/>
        <v>2.111920795208877</v>
      </c>
      <c r="P32" s="98"/>
    </row>
    <row r="33" spans="1:16" x14ac:dyDescent="0.25">
      <c r="A33" s="4" t="s">
        <v>3</v>
      </c>
      <c r="B33" s="4">
        <v>45</v>
      </c>
      <c r="C33" s="4" t="s">
        <v>4</v>
      </c>
      <c r="D33" s="91">
        <v>2.3019561742190779</v>
      </c>
      <c r="E33" s="91">
        <v>2.6827000831425618</v>
      </c>
      <c r="F33" s="91">
        <f t="shared" si="10"/>
        <v>0.38074390892348386</v>
      </c>
      <c r="G33" s="91">
        <v>8.4803462148617026</v>
      </c>
      <c r="H33" s="91">
        <v>7.1690934206736996</v>
      </c>
      <c r="I33" s="91">
        <f t="shared" si="9"/>
        <v>-15.462255442944635</v>
      </c>
      <c r="K33" s="109"/>
      <c r="L33" s="109" t="s">
        <v>244</v>
      </c>
      <c r="M33" s="110">
        <v>17.697594876719496</v>
      </c>
      <c r="N33" s="110">
        <v>12.263863079871452</v>
      </c>
      <c r="O33" s="98">
        <f t="shared" si="0"/>
        <v>5.4337317968480434</v>
      </c>
      <c r="P33" s="98"/>
    </row>
    <row r="34" spans="1:16" x14ac:dyDescent="0.25">
      <c r="A34" s="4" t="s">
        <v>9</v>
      </c>
      <c r="B34" s="4">
        <v>56</v>
      </c>
      <c r="C34" s="4" t="s">
        <v>4</v>
      </c>
      <c r="D34" s="91">
        <v>2.9134457179571722</v>
      </c>
      <c r="E34" s="91">
        <v>2.6343581912039964</v>
      </c>
      <c r="F34" s="91">
        <f t="shared" si="10"/>
        <v>-0.27908752675317583</v>
      </c>
      <c r="G34" s="91">
        <v>8.8838600036384161</v>
      </c>
      <c r="H34" s="91">
        <v>7.920581896051532</v>
      </c>
      <c r="I34" s="91">
        <f t="shared" si="9"/>
        <v>-10.843013140598458</v>
      </c>
      <c r="K34" s="109" t="s">
        <v>24</v>
      </c>
      <c r="L34" s="109" t="s">
        <v>243</v>
      </c>
      <c r="M34" s="98">
        <v>12.898893543644782</v>
      </c>
      <c r="N34" s="98">
        <v>7.3782474291377884</v>
      </c>
      <c r="O34" s="98">
        <f t="shared" si="0"/>
        <v>5.5206461145069934</v>
      </c>
      <c r="P34" s="98"/>
    </row>
    <row r="35" spans="1:16" x14ac:dyDescent="0.25">
      <c r="A35" s="4" t="s">
        <v>11</v>
      </c>
      <c r="B35" s="4">
        <v>53</v>
      </c>
      <c r="C35" s="4" t="s">
        <v>4</v>
      </c>
      <c r="D35" s="91">
        <v>2.608439540648039</v>
      </c>
      <c r="E35" s="91">
        <v>4.0022565022522709</v>
      </c>
      <c r="F35" s="91">
        <f t="shared" si="10"/>
        <v>1.393816961604232</v>
      </c>
      <c r="G35" s="91">
        <v>7.8442146219656417</v>
      </c>
      <c r="H35" s="91">
        <v>9.7836973353529011</v>
      </c>
      <c r="I35" s="91">
        <f t="shared" si="9"/>
        <v>24.725008262219809</v>
      </c>
      <c r="K35" s="109"/>
      <c r="L35" s="109" t="s">
        <v>244</v>
      </c>
      <c r="M35" s="98">
        <v>10.484937835903624</v>
      </c>
      <c r="N35" s="98">
        <v>6.8663963066387881</v>
      </c>
      <c r="O35" s="98">
        <f t="shared" si="0"/>
        <v>3.618541529264836</v>
      </c>
      <c r="P35" s="98"/>
    </row>
    <row r="36" spans="1:16" x14ac:dyDescent="0.25">
      <c r="A36" s="4" t="s">
        <v>12</v>
      </c>
      <c r="B36" s="4">
        <v>46</v>
      </c>
      <c r="C36" s="4" t="s">
        <v>4</v>
      </c>
      <c r="D36" s="91"/>
      <c r="E36" s="91"/>
      <c r="F36" s="91"/>
      <c r="G36" s="91"/>
      <c r="H36" s="91"/>
      <c r="I36" s="91"/>
      <c r="K36" s="109" t="s">
        <v>25</v>
      </c>
      <c r="L36" s="109" t="s">
        <v>243</v>
      </c>
      <c r="M36" s="98">
        <v>4.7035083075874997</v>
      </c>
      <c r="N36" s="98">
        <v>3.3407307417899594</v>
      </c>
      <c r="O36" s="98">
        <f t="shared" si="0"/>
        <v>1.3627775657975403</v>
      </c>
      <c r="P36" s="98"/>
    </row>
    <row r="37" spans="1:16" x14ac:dyDescent="0.25">
      <c r="A37" s="4" t="s">
        <v>23</v>
      </c>
      <c r="B37" s="4">
        <v>60</v>
      </c>
      <c r="C37" s="4" t="s">
        <v>4</v>
      </c>
      <c r="D37" s="91"/>
      <c r="E37" s="91"/>
      <c r="F37" s="91"/>
      <c r="G37" s="91">
        <v>8.3727936735511754</v>
      </c>
      <c r="H37" s="91">
        <v>17.697594876719496</v>
      </c>
      <c r="I37" s="91">
        <f t="shared" si="9"/>
        <v>111.37024948583699</v>
      </c>
      <c r="K37" s="109"/>
      <c r="L37" s="109" t="s">
        <v>244</v>
      </c>
      <c r="M37" s="98">
        <v>11.049008404251698</v>
      </c>
      <c r="N37" s="98">
        <v>6.9050393976889879</v>
      </c>
      <c r="O37" s="98">
        <f t="shared" si="0"/>
        <v>4.1439690065627097</v>
      </c>
      <c r="P37" s="98"/>
    </row>
    <row r="38" spans="1:16" x14ac:dyDescent="0.25">
      <c r="A38" s="4" t="s">
        <v>27</v>
      </c>
      <c r="B38" s="4">
        <v>63</v>
      </c>
      <c r="C38" s="4" t="s">
        <v>4</v>
      </c>
      <c r="D38" s="91">
        <v>4.808553958919533</v>
      </c>
      <c r="E38" s="91">
        <v>1.6697862383626534</v>
      </c>
      <c r="F38" s="91">
        <f t="shared" si="10"/>
        <v>-3.1387677205568796</v>
      </c>
      <c r="G38" s="91">
        <v>10.966588480334785</v>
      </c>
      <c r="H38" s="91">
        <v>5.9382593499698082</v>
      </c>
      <c r="I38" s="91">
        <f t="shared" si="9"/>
        <v>-45.851352399898509</v>
      </c>
      <c r="K38" s="109" t="s">
        <v>26</v>
      </c>
      <c r="L38" s="109" t="s">
        <v>243</v>
      </c>
      <c r="M38" s="98">
        <v>6.7886102859974793</v>
      </c>
      <c r="N38" s="98">
        <v>3.6932600504207667</v>
      </c>
      <c r="O38" s="98">
        <f t="shared" si="0"/>
        <v>3.0953502355767126</v>
      </c>
      <c r="P38" s="98"/>
    </row>
    <row r="39" spans="1:16" x14ac:dyDescent="0.25">
      <c r="A39" s="4" t="s">
        <v>29</v>
      </c>
      <c r="B39" s="4">
        <v>60</v>
      </c>
      <c r="C39" s="4" t="s">
        <v>4</v>
      </c>
      <c r="D39" s="91">
        <v>4.0512030560383181</v>
      </c>
      <c r="E39" s="91">
        <v>3.1128936233161983</v>
      </c>
      <c r="F39" s="91">
        <f t="shared" si="10"/>
        <v>-0.93830943272211975</v>
      </c>
      <c r="G39" s="91">
        <v>13.144605947934405</v>
      </c>
      <c r="H39" s="91">
        <v>9.0852618191405821</v>
      </c>
      <c r="I39" s="91">
        <f t="shared" si="9"/>
        <v>-30.882204798476476</v>
      </c>
      <c r="K39" s="109"/>
      <c r="L39" s="109" t="s">
        <v>244</v>
      </c>
      <c r="M39" s="98">
        <v>8.1543317504557322</v>
      </c>
      <c r="N39" s="98">
        <v>6.1075079489357122</v>
      </c>
      <c r="O39" s="98">
        <f t="shared" si="0"/>
        <v>2.04682380152002</v>
      </c>
      <c r="P39" s="98"/>
    </row>
    <row r="40" spans="1:16" x14ac:dyDescent="0.25">
      <c r="A40" s="3" t="s">
        <v>33</v>
      </c>
      <c r="B40" s="8">
        <f>AVERAGE(B25:B39)</f>
        <v>56</v>
      </c>
      <c r="C40" s="8"/>
      <c r="D40" s="94">
        <f t="shared" ref="D40" si="11">AVERAGE(D25:D39)</f>
        <v>3.953894260778076</v>
      </c>
      <c r="E40" s="94">
        <f t="shared" ref="E40:F40" si="12">AVERAGE(E25:E39)</f>
        <v>3.0805462623383977</v>
      </c>
      <c r="F40" s="94">
        <f t="shared" si="12"/>
        <v>-0.87334799843967792</v>
      </c>
      <c r="G40" s="94">
        <f t="shared" ref="G40" si="13">AVERAGE(G25:G39)</f>
        <v>9.6228537454966716</v>
      </c>
      <c r="H40" s="94">
        <f t="shared" ref="H40:I40" si="14">AVERAGE(H25:H39)</f>
        <v>10.378167610287923</v>
      </c>
      <c r="I40" s="94">
        <f t="shared" si="14"/>
        <v>16.503708313103321</v>
      </c>
      <c r="K40" s="109" t="s">
        <v>27</v>
      </c>
      <c r="L40" s="109" t="s">
        <v>243</v>
      </c>
      <c r="M40" s="98">
        <v>10.966588480334785</v>
      </c>
      <c r="N40" s="98">
        <v>6.1580345214152521</v>
      </c>
      <c r="O40" s="98">
        <f t="shared" si="0"/>
        <v>4.808553958919533</v>
      </c>
      <c r="P40" s="98"/>
    </row>
    <row r="41" spans="1:16" x14ac:dyDescent="0.25">
      <c r="A41" s="3" t="s">
        <v>34</v>
      </c>
      <c r="B41" s="8">
        <f>STDEV(B25:B39)</f>
        <v>6.3919592346277412</v>
      </c>
      <c r="C41" s="8"/>
      <c r="D41" s="94">
        <f t="shared" ref="D41:F41" si="15">STDEV(D25:D39)</f>
        <v>2.0975482917382728</v>
      </c>
      <c r="E41" s="94">
        <f t="shared" si="15"/>
        <v>0.82530960916498397</v>
      </c>
      <c r="F41" s="94">
        <f t="shared" si="15"/>
        <v>1.9835932081705743</v>
      </c>
      <c r="G41" s="94">
        <f t="shared" ref="G41:I41" si="16">STDEV(G25:G39)</f>
        <v>2.7584571489425644</v>
      </c>
      <c r="H41" s="94">
        <f t="shared" si="16"/>
        <v>3.4206315030881784</v>
      </c>
      <c r="I41" s="94">
        <f t="shared" si="16"/>
        <v>50.224513969992906</v>
      </c>
      <c r="K41" s="109"/>
      <c r="L41" s="109" t="s">
        <v>244</v>
      </c>
      <c r="M41" s="98">
        <v>5.9382593499698082</v>
      </c>
      <c r="N41" s="98">
        <v>4.2684731116071548</v>
      </c>
      <c r="O41" s="98">
        <f t="shared" si="0"/>
        <v>1.6697862383626534</v>
      </c>
      <c r="P41" s="98"/>
    </row>
    <row r="42" spans="1:16" x14ac:dyDescent="0.25">
      <c r="A42" s="3" t="s">
        <v>39</v>
      </c>
      <c r="B42" s="7"/>
      <c r="C42" s="7"/>
      <c r="F42" s="26">
        <f>TTEST(F25:F39,F3:F17,2,2)</f>
        <v>0.10612215360631898</v>
      </c>
      <c r="I42" s="26">
        <f>TTEST(I25:I39,I3:I17,2,2)</f>
        <v>0.76390846533424173</v>
      </c>
      <c r="K42" s="109" t="s">
        <v>29</v>
      </c>
      <c r="L42" s="109" t="s">
        <v>243</v>
      </c>
      <c r="M42" s="98">
        <v>13.144605947934405</v>
      </c>
      <c r="N42" s="98">
        <v>9.093402891896087</v>
      </c>
      <c r="O42" s="98">
        <f t="shared" si="0"/>
        <v>4.0512030560383181</v>
      </c>
      <c r="P42" s="98"/>
    </row>
    <row r="43" spans="1:16" x14ac:dyDescent="0.25">
      <c r="A43" s="3" t="s">
        <v>160</v>
      </c>
      <c r="B43" s="38"/>
      <c r="C43" s="38"/>
      <c r="E43" s="96">
        <f>TTEST(D25:D39,E25:E39,2,1)</f>
        <v>0.15543363379071162</v>
      </c>
      <c r="F43" s="96"/>
      <c r="G43" s="96"/>
      <c r="H43" s="96">
        <f>TTEST(G25:G39,H25:H39,2,1)</f>
        <v>0.51443192588923448</v>
      </c>
      <c r="I43" s="96"/>
      <c r="K43" s="109"/>
      <c r="L43" s="109" t="s">
        <v>244</v>
      </c>
      <c r="M43" s="98">
        <v>9.0852618191405821</v>
      </c>
      <c r="N43" s="98">
        <v>5.9723681958243837</v>
      </c>
      <c r="O43" s="98">
        <f t="shared" si="0"/>
        <v>3.1128936233161983</v>
      </c>
      <c r="P43" s="98"/>
    </row>
    <row r="44" spans="1:16" x14ac:dyDescent="0.25">
      <c r="H44">
        <f>(H40-G40)*100/G40</f>
        <v>7.8491670430377782</v>
      </c>
      <c r="K44" s="109" t="s">
        <v>28</v>
      </c>
      <c r="L44" s="109" t="s">
        <v>243</v>
      </c>
      <c r="M44" s="98">
        <v>11.864900904556418</v>
      </c>
      <c r="N44" s="98">
        <v>8.3105452973267884</v>
      </c>
      <c r="O44" s="98">
        <f t="shared" si="0"/>
        <v>3.5543556072296294</v>
      </c>
      <c r="P44" s="98"/>
    </row>
    <row r="45" spans="1:16" x14ac:dyDescent="0.25">
      <c r="K45" s="109"/>
      <c r="L45" s="109" t="s">
        <v>244</v>
      </c>
      <c r="M45" s="98">
        <v>14.116592225191335</v>
      </c>
      <c r="N45" s="98">
        <v>10.602258592098451</v>
      </c>
      <c r="O45" s="98">
        <f t="shared" si="0"/>
        <v>3.5143336330928836</v>
      </c>
      <c r="P45" s="98"/>
    </row>
    <row r="46" spans="1:16" x14ac:dyDescent="0.25">
      <c r="K46" s="109" t="s">
        <v>30</v>
      </c>
      <c r="L46" s="109" t="s">
        <v>243</v>
      </c>
      <c r="M46" s="98">
        <v>8.7595849090499129</v>
      </c>
      <c r="N46" s="98">
        <v>5.4082671730957115</v>
      </c>
      <c r="O46" s="98">
        <f t="shared" si="0"/>
        <v>3.3513177359542015</v>
      </c>
      <c r="P46" s="98"/>
    </row>
    <row r="47" spans="1:16" x14ac:dyDescent="0.25">
      <c r="K47" s="109"/>
      <c r="L47" s="109" t="s">
        <v>244</v>
      </c>
      <c r="M47" s="98">
        <v>7.5565885325975017</v>
      </c>
      <c r="N47" s="98">
        <v>4.7333243929631026</v>
      </c>
      <c r="O47" s="98">
        <f t="shared" si="0"/>
        <v>2.8232641396343992</v>
      </c>
      <c r="P47" s="98"/>
    </row>
    <row r="48" spans="1:16" x14ac:dyDescent="0.25">
      <c r="K48" s="109" t="s">
        <v>31</v>
      </c>
      <c r="L48" s="109" t="s">
        <v>243</v>
      </c>
      <c r="M48" s="98">
        <v>6.0561978493471731</v>
      </c>
      <c r="N48" s="98">
        <v>4.2820142656582432</v>
      </c>
      <c r="O48" s="98">
        <f t="shared" si="0"/>
        <v>1.7741835836889299</v>
      </c>
      <c r="P48" s="98"/>
    </row>
    <row r="49" spans="11:16" x14ac:dyDescent="0.25">
      <c r="K49" s="109"/>
      <c r="L49" s="109" t="s">
        <v>244</v>
      </c>
      <c r="M49" s="98">
        <v>5.983066184790764</v>
      </c>
      <c r="N49" s="98">
        <v>4.7989486948455449</v>
      </c>
      <c r="O49" s="98">
        <f t="shared" si="0"/>
        <v>1.1841174899452191</v>
      </c>
      <c r="P49" s="98"/>
    </row>
    <row r="50" spans="11:16" x14ac:dyDescent="0.25">
      <c r="K50" s="109" t="s">
        <v>32</v>
      </c>
      <c r="L50" s="109" t="s">
        <v>243</v>
      </c>
      <c r="M50" s="98">
        <v>8.6473559936140862</v>
      </c>
      <c r="N50" s="98">
        <v>5.7925700252285974</v>
      </c>
      <c r="O50" s="98">
        <f t="shared" si="0"/>
        <v>2.8547859683854888</v>
      </c>
      <c r="P50" s="98"/>
    </row>
    <row r="51" spans="11:16" x14ac:dyDescent="0.25">
      <c r="K51" s="109"/>
      <c r="L51" s="109" t="s">
        <v>244</v>
      </c>
      <c r="M51" s="98">
        <v>10.838349997158355</v>
      </c>
      <c r="N51" s="98">
        <v>7.6629153187907875</v>
      </c>
      <c r="O51" s="98">
        <f t="shared" si="0"/>
        <v>3.1754346783675675</v>
      </c>
      <c r="P51" s="98"/>
    </row>
    <row r="52" spans="11:16" x14ac:dyDescent="0.25">
      <c r="K52" s="109" t="s">
        <v>149</v>
      </c>
      <c r="L52" s="109" t="s">
        <v>243</v>
      </c>
      <c r="M52" s="98">
        <v>5.5157244985913172</v>
      </c>
      <c r="N52" s="98">
        <v>3.672868461356388</v>
      </c>
      <c r="O52" s="98">
        <f t="shared" si="0"/>
        <v>1.8428560372349292</v>
      </c>
      <c r="P52" s="98"/>
    </row>
    <row r="53" spans="11:16" x14ac:dyDescent="0.25">
      <c r="K53" s="109"/>
      <c r="L53" s="109" t="s">
        <v>244</v>
      </c>
      <c r="M53" s="98">
        <v>7.3971048061734663</v>
      </c>
      <c r="N53" s="98">
        <v>5.2270459285785043</v>
      </c>
      <c r="O53" s="98">
        <f t="shared" si="0"/>
        <v>2.1700588775949621</v>
      </c>
      <c r="P53" s="98"/>
    </row>
    <row r="54" spans="11:16" x14ac:dyDescent="0.25">
      <c r="K54" s="109" t="s">
        <v>150</v>
      </c>
      <c r="L54" s="109" t="s">
        <v>243</v>
      </c>
      <c r="M54" s="98">
        <v>13.572607150682582</v>
      </c>
      <c r="N54" s="98">
        <v>4.8505892215797042</v>
      </c>
      <c r="O54" s="98">
        <f t="shared" si="0"/>
        <v>8.7220179291028792</v>
      </c>
      <c r="P54" s="98"/>
    </row>
    <row r="55" spans="11:16" x14ac:dyDescent="0.25">
      <c r="K55" s="109"/>
      <c r="L55" s="109" t="s">
        <v>244</v>
      </c>
      <c r="M55" s="98">
        <v>15.01557632686613</v>
      </c>
      <c r="N55" s="98">
        <v>10.382979714275999</v>
      </c>
      <c r="O55" s="98">
        <f t="shared" si="0"/>
        <v>4.632596612590131</v>
      </c>
      <c r="P55" s="9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6F9D-22B7-4330-AF84-BA8567F93BF0}">
  <dimension ref="A1:C43"/>
  <sheetViews>
    <sheetView workbookViewId="0">
      <selection activeCell="D6" sqref="D6"/>
    </sheetView>
  </sheetViews>
  <sheetFormatPr defaultRowHeight="15" x14ac:dyDescent="0.25"/>
  <cols>
    <col min="1" max="1" width="12.28515625" style="38" customWidth="1"/>
    <col min="2" max="2" width="11.5703125" style="4" customWidth="1"/>
    <col min="3" max="3" width="13.7109375" style="4" customWidth="1"/>
    <col min="4" max="16384" width="9.140625" style="38"/>
  </cols>
  <sheetData>
    <row r="1" spans="1:3" x14ac:dyDescent="0.25">
      <c r="A1" s="4" t="s">
        <v>43</v>
      </c>
    </row>
    <row r="2" spans="1:3" x14ac:dyDescent="0.25">
      <c r="A2" s="3" t="s">
        <v>0</v>
      </c>
      <c r="B2" s="3" t="s">
        <v>339</v>
      </c>
      <c r="C2" s="3" t="s">
        <v>341</v>
      </c>
    </row>
    <row r="3" spans="1:3" x14ac:dyDescent="0.25">
      <c r="A3" s="4" t="s">
        <v>10</v>
      </c>
      <c r="B3" s="4" t="s">
        <v>340</v>
      </c>
    </row>
    <row r="4" spans="1:3" x14ac:dyDescent="0.25">
      <c r="A4" s="4" t="s">
        <v>18</v>
      </c>
      <c r="C4" s="4" t="s">
        <v>340</v>
      </c>
    </row>
    <row r="5" spans="1:3" x14ac:dyDescent="0.25">
      <c r="A5" s="21" t="s">
        <v>20</v>
      </c>
    </row>
    <row r="6" spans="1:3" x14ac:dyDescent="0.25">
      <c r="A6" s="4" t="s">
        <v>21</v>
      </c>
      <c r="C6" s="4" t="s">
        <v>340</v>
      </c>
    </row>
    <row r="7" spans="1:3" x14ac:dyDescent="0.25">
      <c r="A7" s="4" t="s">
        <v>24</v>
      </c>
    </row>
    <row r="8" spans="1:3" x14ac:dyDescent="0.25">
      <c r="A8" s="4" t="s">
        <v>25</v>
      </c>
    </row>
    <row r="9" spans="1:3" x14ac:dyDescent="0.25">
      <c r="A9" s="4" t="s">
        <v>31</v>
      </c>
    </row>
    <row r="10" spans="1:3" x14ac:dyDescent="0.25">
      <c r="A10" s="4" t="s">
        <v>32</v>
      </c>
    </row>
    <row r="11" spans="1:3" x14ac:dyDescent="0.25">
      <c r="A11" s="4" t="s">
        <v>7</v>
      </c>
    </row>
    <row r="12" spans="1:3" x14ac:dyDescent="0.25">
      <c r="A12" s="4" t="s">
        <v>8</v>
      </c>
    </row>
    <row r="13" spans="1:3" x14ac:dyDescent="0.25">
      <c r="A13" s="4" t="s">
        <v>13</v>
      </c>
      <c r="B13" s="4" t="s">
        <v>340</v>
      </c>
    </row>
    <row r="14" spans="1:3" x14ac:dyDescent="0.25">
      <c r="A14" s="4" t="s">
        <v>16</v>
      </c>
      <c r="C14" s="4" t="s">
        <v>340</v>
      </c>
    </row>
    <row r="15" spans="1:3" x14ac:dyDescent="0.25">
      <c r="A15" s="4" t="s">
        <v>17</v>
      </c>
    </row>
    <row r="16" spans="1:3" x14ac:dyDescent="0.25">
      <c r="A16" s="4" t="s">
        <v>30</v>
      </c>
    </row>
    <row r="17" spans="1:3" x14ac:dyDescent="0.25">
      <c r="A17" s="4" t="s">
        <v>149</v>
      </c>
    </row>
    <row r="18" spans="1:3" x14ac:dyDescent="0.25">
      <c r="A18" s="3"/>
    </row>
    <row r="19" spans="1:3" x14ac:dyDescent="0.25">
      <c r="A19" s="4" t="s">
        <v>44</v>
      </c>
    </row>
    <row r="20" spans="1:3" x14ac:dyDescent="0.25">
      <c r="A20" s="3" t="s">
        <v>0</v>
      </c>
    </row>
    <row r="21" spans="1:3" x14ac:dyDescent="0.25">
      <c r="A21" s="4" t="s">
        <v>5</v>
      </c>
    </row>
    <row r="22" spans="1:3" x14ac:dyDescent="0.25">
      <c r="A22" s="4" t="s">
        <v>14</v>
      </c>
    </row>
    <row r="23" spans="1:3" x14ac:dyDescent="0.25">
      <c r="A23" s="4" t="s">
        <v>19</v>
      </c>
      <c r="C23" s="4" t="s">
        <v>340</v>
      </c>
    </row>
    <row r="24" spans="1:3" x14ac:dyDescent="0.25">
      <c r="A24" s="4" t="s">
        <v>22</v>
      </c>
    </row>
    <row r="25" spans="1:3" x14ac:dyDescent="0.25">
      <c r="A25" s="4" t="s">
        <v>26</v>
      </c>
    </row>
    <row r="26" spans="1:3" x14ac:dyDescent="0.25">
      <c r="A26" s="21" t="s">
        <v>42</v>
      </c>
    </row>
    <row r="27" spans="1:3" x14ac:dyDescent="0.25">
      <c r="A27" s="4" t="s">
        <v>28</v>
      </c>
    </row>
    <row r="28" spans="1:3" x14ac:dyDescent="0.25">
      <c r="A28" s="4" t="s">
        <v>150</v>
      </c>
    </row>
    <row r="29" spans="1:3" x14ac:dyDescent="0.25">
      <c r="A29" s="4" t="s">
        <v>3</v>
      </c>
    </row>
    <row r="30" spans="1:3" x14ac:dyDescent="0.25">
      <c r="A30" s="4" t="s">
        <v>9</v>
      </c>
    </row>
    <row r="31" spans="1:3" x14ac:dyDescent="0.25">
      <c r="A31" s="4" t="s">
        <v>11</v>
      </c>
      <c r="B31" s="4" t="s">
        <v>340</v>
      </c>
    </row>
    <row r="32" spans="1:3" x14ac:dyDescent="0.25">
      <c r="A32" s="4" t="s">
        <v>12</v>
      </c>
    </row>
    <row r="33" spans="1:1" x14ac:dyDescent="0.25">
      <c r="A33" s="4" t="s">
        <v>23</v>
      </c>
    </row>
    <row r="34" spans="1:1" x14ac:dyDescent="0.25">
      <c r="A34" s="4" t="s">
        <v>27</v>
      </c>
    </row>
    <row r="35" spans="1:1" x14ac:dyDescent="0.25">
      <c r="A35" s="4" t="s">
        <v>29</v>
      </c>
    </row>
    <row r="36" spans="1:1" x14ac:dyDescent="0.25">
      <c r="A36" s="3"/>
    </row>
    <row r="41" spans="1:1" x14ac:dyDescent="0.25">
      <c r="A41" s="3"/>
    </row>
    <row r="42" spans="1:1" x14ac:dyDescent="0.25">
      <c r="A42" s="3"/>
    </row>
    <row r="43" spans="1:1" x14ac:dyDescent="0.25">
      <c r="A43"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1760-43D6-4515-A305-EA36475E61E3}">
  <dimension ref="A1:T44"/>
  <sheetViews>
    <sheetView zoomScale="70" zoomScaleNormal="70" workbookViewId="0">
      <selection activeCell="J47" sqref="J47"/>
    </sheetView>
  </sheetViews>
  <sheetFormatPr defaultRowHeight="15" x14ac:dyDescent="0.25"/>
  <cols>
    <col min="2" max="3" width="14.42578125" customWidth="1"/>
    <col min="5" max="6" width="14.85546875" customWidth="1"/>
    <col min="7" max="7" width="11.5703125" customWidth="1"/>
    <col min="8" max="8" width="14.42578125" customWidth="1"/>
    <col min="9" max="10" width="14.5703125" customWidth="1"/>
    <col min="11" max="11" width="14.28515625" bestFit="1" customWidth="1"/>
    <col min="12" max="13" width="15" customWidth="1"/>
    <col min="14" max="14" width="10.140625" customWidth="1"/>
    <col min="15" max="15" width="13" customWidth="1"/>
    <col min="16" max="17" width="12.5703125" customWidth="1"/>
    <col min="18" max="18" width="14.28515625" bestFit="1" customWidth="1"/>
    <col min="19" max="20" width="15.28515625" customWidth="1"/>
  </cols>
  <sheetData>
    <row r="1" spans="1:20" x14ac:dyDescent="0.25">
      <c r="A1" s="61" t="s">
        <v>331</v>
      </c>
      <c r="B1" s="95"/>
      <c r="C1" s="95"/>
      <c r="D1" s="95"/>
      <c r="E1" s="95"/>
      <c r="F1" s="95"/>
      <c r="G1" s="95"/>
      <c r="H1" s="95" t="s">
        <v>332</v>
      </c>
      <c r="I1" s="95"/>
      <c r="J1" s="95"/>
      <c r="K1" s="95"/>
      <c r="L1" s="95"/>
      <c r="M1" s="95"/>
      <c r="N1" s="95"/>
      <c r="O1" s="95" t="s">
        <v>333</v>
      </c>
      <c r="P1" s="95"/>
    </row>
    <row r="2" spans="1:20" x14ac:dyDescent="0.25">
      <c r="A2" s="20" t="s">
        <v>40</v>
      </c>
      <c r="B2" s="38" t="s">
        <v>243</v>
      </c>
      <c r="C2" s="38" t="s">
        <v>244</v>
      </c>
      <c r="D2" s="147" t="s">
        <v>41</v>
      </c>
      <c r="E2" s="38" t="s">
        <v>243</v>
      </c>
      <c r="F2" s="38" t="s">
        <v>244</v>
      </c>
      <c r="H2" s="20" t="s">
        <v>40</v>
      </c>
      <c r="I2" s="38" t="s">
        <v>243</v>
      </c>
      <c r="J2" s="38" t="s">
        <v>244</v>
      </c>
      <c r="K2" s="147" t="s">
        <v>41</v>
      </c>
      <c r="L2" s="38" t="s">
        <v>243</v>
      </c>
      <c r="M2" s="38" t="s">
        <v>244</v>
      </c>
      <c r="O2" s="20" t="s">
        <v>40</v>
      </c>
      <c r="P2" s="38" t="s">
        <v>243</v>
      </c>
      <c r="Q2" s="38" t="s">
        <v>244</v>
      </c>
      <c r="R2" s="147" t="s">
        <v>41</v>
      </c>
      <c r="S2" s="38" t="s">
        <v>243</v>
      </c>
      <c r="T2" s="38" t="s">
        <v>244</v>
      </c>
    </row>
    <row r="3" spans="1:20" x14ac:dyDescent="0.25">
      <c r="A3" s="3" t="s">
        <v>0</v>
      </c>
      <c r="B3" s="38"/>
      <c r="C3" s="38"/>
      <c r="D3" s="3" t="s">
        <v>0</v>
      </c>
      <c r="E3" s="38"/>
      <c r="F3" s="38"/>
      <c r="H3" s="3" t="s">
        <v>0</v>
      </c>
      <c r="I3" s="38"/>
      <c r="J3" s="38"/>
      <c r="K3" s="3" t="s">
        <v>0</v>
      </c>
      <c r="L3" s="38"/>
      <c r="M3" s="38"/>
      <c r="O3" s="3" t="s">
        <v>0</v>
      </c>
      <c r="P3" s="38"/>
      <c r="Q3" s="38"/>
      <c r="R3" s="3" t="s">
        <v>0</v>
      </c>
      <c r="S3" s="38"/>
      <c r="T3" s="38"/>
    </row>
    <row r="4" spans="1:20" x14ac:dyDescent="0.25">
      <c r="A4" s="4" t="s">
        <v>5</v>
      </c>
      <c r="B4" s="148">
        <v>0.93379152228557993</v>
      </c>
      <c r="C4" s="148">
        <v>0.97076449165180512</v>
      </c>
      <c r="D4" s="4" t="s">
        <v>10</v>
      </c>
      <c r="E4" s="148">
        <v>0.44731158094833445</v>
      </c>
      <c r="F4" s="148">
        <v>0.38767433220886544</v>
      </c>
      <c r="H4" s="4" t="s">
        <v>5</v>
      </c>
      <c r="I4" s="148">
        <v>1.4069087760009849</v>
      </c>
      <c r="J4" s="148">
        <v>2.0764515638324377</v>
      </c>
      <c r="K4" s="4" t="s">
        <v>10</v>
      </c>
      <c r="L4" s="148">
        <v>1.1892717113732862</v>
      </c>
      <c r="M4" s="148">
        <v>1.4179847864031057</v>
      </c>
      <c r="O4" s="4" t="s">
        <v>5</v>
      </c>
      <c r="P4" s="148">
        <v>0.31822408040823186</v>
      </c>
      <c r="Q4" s="148">
        <v>1.1014096878909327</v>
      </c>
      <c r="R4" s="4" t="s">
        <v>10</v>
      </c>
      <c r="S4" s="148">
        <v>0.45697211838267149</v>
      </c>
      <c r="T4" s="148">
        <v>1.4187812626745642</v>
      </c>
    </row>
    <row r="5" spans="1:20" x14ac:dyDescent="0.25">
      <c r="A5" s="4" t="s">
        <v>14</v>
      </c>
      <c r="B5" s="148">
        <v>1.1338581195928379</v>
      </c>
      <c r="C5" s="148">
        <v>0.40722790573998713</v>
      </c>
      <c r="D5" s="4" t="s">
        <v>18</v>
      </c>
      <c r="E5" s="148">
        <v>1.9395677016889523</v>
      </c>
      <c r="F5" s="148">
        <v>1.0511530628880823</v>
      </c>
      <c r="H5" s="4" t="s">
        <v>14</v>
      </c>
      <c r="I5" s="148">
        <v>1.2430510662427023</v>
      </c>
      <c r="J5" s="148">
        <v>1.0103864210224835</v>
      </c>
      <c r="K5" s="4" t="s">
        <v>18</v>
      </c>
      <c r="L5" s="148">
        <v>0.90632473380593059</v>
      </c>
      <c r="M5" s="148">
        <v>0.64028407814549626</v>
      </c>
      <c r="O5" s="4" t="s">
        <v>14</v>
      </c>
      <c r="P5" s="148">
        <v>3.339562336217492</v>
      </c>
      <c r="Q5" s="148">
        <v>3.5719109711197694</v>
      </c>
      <c r="R5" s="4" t="s">
        <v>18</v>
      </c>
      <c r="S5" s="148">
        <v>7.8436833754658268</v>
      </c>
      <c r="T5" s="148">
        <v>2.6626020426929329</v>
      </c>
    </row>
    <row r="6" spans="1:20" x14ac:dyDescent="0.25">
      <c r="A6" s="4" t="s">
        <v>19</v>
      </c>
      <c r="B6" s="148">
        <v>1.4750527108336471</v>
      </c>
      <c r="C6" s="148">
        <v>0.76808012844955198</v>
      </c>
      <c r="D6" s="21" t="s">
        <v>20</v>
      </c>
      <c r="E6" s="148"/>
      <c r="F6" s="148"/>
      <c r="H6" s="4" t="s">
        <v>19</v>
      </c>
      <c r="I6" s="148">
        <v>0.32302051823421096</v>
      </c>
      <c r="J6" s="148">
        <v>0.80836577465953041</v>
      </c>
      <c r="K6" s="21" t="s">
        <v>20</v>
      </c>
      <c r="L6" s="148"/>
      <c r="M6" s="148"/>
      <c r="O6" s="4" t="s">
        <v>19</v>
      </c>
      <c r="P6" s="148">
        <v>1.2624342839146652</v>
      </c>
      <c r="Q6" s="148">
        <v>2.5755643209282808</v>
      </c>
      <c r="R6" s="21" t="s">
        <v>20</v>
      </c>
      <c r="S6" s="148"/>
      <c r="T6" s="148"/>
    </row>
    <row r="7" spans="1:20" x14ac:dyDescent="0.25">
      <c r="A7" s="4" t="s">
        <v>22</v>
      </c>
      <c r="B7" s="148">
        <v>0.10468779525651381</v>
      </c>
      <c r="C7" s="148">
        <v>9.9674207967900275E-2</v>
      </c>
      <c r="D7" s="4" t="s">
        <v>21</v>
      </c>
      <c r="E7" s="148">
        <v>0.23431687955550046</v>
      </c>
      <c r="F7" s="148">
        <v>0.26627534161988298</v>
      </c>
      <c r="H7" s="4" t="s">
        <v>22</v>
      </c>
      <c r="I7" s="148">
        <v>1.0683784932217246</v>
      </c>
      <c r="J7" s="148">
        <v>0.43873373541429833</v>
      </c>
      <c r="K7" s="4" t="s">
        <v>21</v>
      </c>
      <c r="L7" s="148">
        <v>0.88650318371049552</v>
      </c>
      <c r="M7" s="148">
        <v>0.5754846272180999</v>
      </c>
      <c r="O7" s="4" t="s">
        <v>22</v>
      </c>
      <c r="P7" s="148">
        <v>0.6330018033933752</v>
      </c>
      <c r="Q7" s="148">
        <v>2.4661683080907331</v>
      </c>
      <c r="R7" s="4" t="s">
        <v>21</v>
      </c>
      <c r="S7" s="148">
        <v>1.2854321436262637</v>
      </c>
      <c r="T7" s="148">
        <v>2.3826705066871146</v>
      </c>
    </row>
    <row r="8" spans="1:20" x14ac:dyDescent="0.25">
      <c r="A8" s="4" t="s">
        <v>26</v>
      </c>
      <c r="B8" s="148">
        <v>2.6161153136475885</v>
      </c>
      <c r="C8" s="148">
        <v>1.4670117214104579</v>
      </c>
      <c r="D8" s="4" t="s">
        <v>24</v>
      </c>
      <c r="E8" s="148">
        <v>0.75462269712134966</v>
      </c>
      <c r="F8" s="148">
        <v>0.89081295407303951</v>
      </c>
      <c r="H8" s="4" t="s">
        <v>26</v>
      </c>
      <c r="I8" s="148">
        <v>2.8396015960470963E-2</v>
      </c>
      <c r="J8" s="148">
        <v>1.6907953766785275</v>
      </c>
      <c r="K8" s="4" t="s">
        <v>24</v>
      </c>
      <c r="L8" s="148">
        <v>0</v>
      </c>
      <c r="M8" s="148">
        <v>1.521569582372408</v>
      </c>
      <c r="O8" s="4" t="s">
        <v>26</v>
      </c>
      <c r="P8" s="148">
        <v>0.95256648143951772</v>
      </c>
      <c r="Q8" s="148">
        <v>2.7030856746407839</v>
      </c>
      <c r="R8" s="4" t="s">
        <v>24</v>
      </c>
      <c r="S8" s="148">
        <v>0.74839826348035421</v>
      </c>
      <c r="T8" s="148">
        <v>5.4774685868136137</v>
      </c>
    </row>
    <row r="9" spans="1:20" x14ac:dyDescent="0.25">
      <c r="A9" s="21" t="s">
        <v>42</v>
      </c>
      <c r="B9" s="148"/>
      <c r="C9" s="148"/>
      <c r="D9" s="4" t="s">
        <v>25</v>
      </c>
      <c r="E9" s="148">
        <v>0.76605844893879316</v>
      </c>
      <c r="F9" s="148">
        <v>0.53802791152273821</v>
      </c>
      <c r="H9" s="21" t="s">
        <v>42</v>
      </c>
      <c r="I9" s="148"/>
      <c r="J9" s="148"/>
      <c r="K9" s="4" t="s">
        <v>25</v>
      </c>
      <c r="L9" s="148">
        <v>0</v>
      </c>
      <c r="M9" s="148">
        <v>0.40932498268169965</v>
      </c>
      <c r="O9" s="21" t="s">
        <v>42</v>
      </c>
      <c r="P9" s="148"/>
      <c r="Q9" s="148"/>
      <c r="R9" s="4" t="s">
        <v>25</v>
      </c>
      <c r="S9" s="148">
        <v>0.84711717953644405</v>
      </c>
      <c r="T9" s="148">
        <v>0.67455986927760436</v>
      </c>
    </row>
    <row r="10" spans="1:20" x14ac:dyDescent="0.25">
      <c r="A10" s="4" t="s">
        <v>28</v>
      </c>
      <c r="B10" s="148">
        <v>0</v>
      </c>
      <c r="C10" s="148">
        <v>0</v>
      </c>
      <c r="D10" s="4" t="s">
        <v>31</v>
      </c>
      <c r="E10" s="148">
        <v>0.844624968348344</v>
      </c>
      <c r="F10" s="148">
        <v>0</v>
      </c>
      <c r="H10" s="4" t="s">
        <v>28</v>
      </c>
      <c r="I10" s="148">
        <v>1.145242902007094</v>
      </c>
      <c r="J10" s="148">
        <v>0.9342098010362323</v>
      </c>
      <c r="K10" s="4" t="s">
        <v>31</v>
      </c>
      <c r="L10" s="148">
        <v>1.5964898673255137</v>
      </c>
      <c r="M10" s="148">
        <v>1.2836433803063814</v>
      </c>
      <c r="O10" s="4" t="s">
        <v>28</v>
      </c>
      <c r="P10" s="148">
        <v>0</v>
      </c>
      <c r="Q10" s="148">
        <v>2.3102425607488488</v>
      </c>
      <c r="R10" s="4" t="s">
        <v>31</v>
      </c>
      <c r="S10" s="148">
        <v>1.8073391160502017</v>
      </c>
      <c r="T10" s="148">
        <v>0</v>
      </c>
    </row>
    <row r="11" spans="1:20" x14ac:dyDescent="0.25">
      <c r="A11" s="4" t="s">
        <v>150</v>
      </c>
      <c r="B11" s="148">
        <v>1.9459521881277198</v>
      </c>
      <c r="C11" s="148">
        <v>0.21588772775804013</v>
      </c>
      <c r="D11" s="4" t="s">
        <v>32</v>
      </c>
      <c r="E11" s="148">
        <v>0</v>
      </c>
      <c r="F11" s="148">
        <v>1.9459521881277198</v>
      </c>
      <c r="H11" s="4" t="s">
        <v>150</v>
      </c>
      <c r="I11" s="148">
        <v>1.0989871167877012</v>
      </c>
      <c r="J11" s="148">
        <v>1.7874645915743823</v>
      </c>
      <c r="K11" s="4" t="s">
        <v>32</v>
      </c>
      <c r="L11" s="148">
        <v>0.99895038453929308</v>
      </c>
      <c r="M11" s="148">
        <v>0.85008647817041105</v>
      </c>
      <c r="O11" s="4" t="s">
        <v>150</v>
      </c>
      <c r="P11" s="148">
        <v>1.4325274624068638</v>
      </c>
      <c r="Q11" s="148">
        <v>1.8492475543800475</v>
      </c>
      <c r="R11" s="4" t="s">
        <v>32</v>
      </c>
      <c r="S11" s="148">
        <v>6.0037881605396475</v>
      </c>
      <c r="T11" s="148">
        <v>1.4325274624068638</v>
      </c>
    </row>
    <row r="12" spans="1:20" x14ac:dyDescent="0.25">
      <c r="A12" s="4" t="s">
        <v>3</v>
      </c>
      <c r="B12" s="148">
        <v>0.96317600553936777</v>
      </c>
      <c r="C12" s="148">
        <v>1.4390334958934945</v>
      </c>
      <c r="D12" s="4" t="s">
        <v>7</v>
      </c>
      <c r="E12" s="148">
        <v>1.1993277816980348</v>
      </c>
      <c r="F12" s="148">
        <v>4.1019107376549266</v>
      </c>
      <c r="H12" s="4" t="s">
        <v>3</v>
      </c>
      <c r="I12" s="148">
        <v>1.4369572009061016</v>
      </c>
      <c r="J12" s="148">
        <v>1.3532267572269654</v>
      </c>
      <c r="K12" s="4" t="s">
        <v>7</v>
      </c>
      <c r="L12" s="148">
        <v>2.2750946404325401</v>
      </c>
      <c r="M12" s="148">
        <v>1.7300284105563699</v>
      </c>
      <c r="O12" s="4" t="s">
        <v>3</v>
      </c>
      <c r="P12" s="148">
        <v>2.2398811682644024</v>
      </c>
      <c r="Q12" s="148">
        <v>5.7362430597441865</v>
      </c>
      <c r="R12" s="4" t="s">
        <v>7</v>
      </c>
      <c r="S12" s="148">
        <v>0</v>
      </c>
      <c r="T12" s="148">
        <v>0.43793444506556978</v>
      </c>
    </row>
    <row r="13" spans="1:20" x14ac:dyDescent="0.25">
      <c r="A13" s="4" t="s">
        <v>9</v>
      </c>
      <c r="B13" s="148">
        <v>0.82819955178585258</v>
      </c>
      <c r="C13" s="148">
        <v>1.0947264895856403</v>
      </c>
      <c r="D13" s="4" t="s">
        <v>8</v>
      </c>
      <c r="E13" s="148">
        <v>1.0877464923570117</v>
      </c>
      <c r="F13" s="148">
        <v>0.41794388521568759</v>
      </c>
      <c r="H13" s="4" t="s">
        <v>9</v>
      </c>
      <c r="I13" s="148">
        <v>0.88100449283127946</v>
      </c>
      <c r="J13" s="148">
        <v>1.1965907147611694</v>
      </c>
      <c r="K13" s="4" t="s">
        <v>8</v>
      </c>
      <c r="L13" s="148">
        <v>1.1666497374038807</v>
      </c>
      <c r="M13" s="148">
        <v>1.1985252651245837</v>
      </c>
      <c r="O13" s="4" t="s">
        <v>9</v>
      </c>
      <c r="P13" s="148">
        <v>4.858700852720016E-2</v>
      </c>
      <c r="Q13" s="148">
        <v>0.28041746333516726</v>
      </c>
      <c r="R13" s="4" t="s">
        <v>8</v>
      </c>
      <c r="S13" s="148">
        <v>1.5200237689229399</v>
      </c>
      <c r="T13" s="148">
        <v>1.7198389240621716</v>
      </c>
    </row>
    <row r="14" spans="1:20" x14ac:dyDescent="0.25">
      <c r="A14" s="4" t="s">
        <v>11</v>
      </c>
      <c r="B14" s="148">
        <v>0.13418194746658321</v>
      </c>
      <c r="C14" s="148">
        <v>0.22126884297704463</v>
      </c>
      <c r="D14" s="4" t="s">
        <v>13</v>
      </c>
      <c r="E14" s="148">
        <v>0.11621848129439437</v>
      </c>
      <c r="F14" s="148">
        <v>0.8083417611302004</v>
      </c>
      <c r="H14" s="4" t="s">
        <v>11</v>
      </c>
      <c r="I14" s="148">
        <v>0</v>
      </c>
      <c r="J14" s="148">
        <v>0.93106498634224999</v>
      </c>
      <c r="K14" s="4" t="s">
        <v>13</v>
      </c>
      <c r="L14" s="148">
        <v>0.53441018602400614</v>
      </c>
      <c r="M14" s="148">
        <v>2.2284044810097856</v>
      </c>
      <c r="O14" s="4" t="s">
        <v>11</v>
      </c>
      <c r="P14" s="148">
        <v>0</v>
      </c>
      <c r="Q14" s="148">
        <v>1.9358420675746628</v>
      </c>
      <c r="R14" s="4" t="s">
        <v>13</v>
      </c>
      <c r="S14" s="148">
        <v>0</v>
      </c>
      <c r="T14" s="148">
        <v>6.8898955565556763</v>
      </c>
    </row>
    <row r="15" spans="1:20" x14ac:dyDescent="0.25">
      <c r="A15" s="4" t="s">
        <v>12</v>
      </c>
      <c r="B15" s="148"/>
      <c r="C15" s="148"/>
      <c r="D15" s="4" t="s">
        <v>16</v>
      </c>
      <c r="E15" s="148">
        <v>1.1754300463302934</v>
      </c>
      <c r="F15" s="148">
        <v>2.3461600076176827</v>
      </c>
      <c r="H15" s="4" t="s">
        <v>12</v>
      </c>
      <c r="I15" s="148"/>
      <c r="J15" s="148"/>
      <c r="K15" s="4" t="s">
        <v>16</v>
      </c>
      <c r="L15" s="148">
        <v>0.73887460491295642</v>
      </c>
      <c r="M15" s="148">
        <v>2.4390483696114154</v>
      </c>
      <c r="O15" s="4" t="s">
        <v>12</v>
      </c>
      <c r="P15" s="148"/>
      <c r="Q15" s="148"/>
      <c r="R15" s="4" t="s">
        <v>16</v>
      </c>
      <c r="S15" s="148">
        <v>2.6616663300715397</v>
      </c>
      <c r="T15" s="148">
        <v>5.3056636312683052</v>
      </c>
    </row>
    <row r="16" spans="1:20" x14ac:dyDescent="0.25">
      <c r="A16" s="4" t="s">
        <v>23</v>
      </c>
      <c r="B16" s="148">
        <v>0.9076771106298307</v>
      </c>
      <c r="C16" s="148">
        <v>1.0942091424633411</v>
      </c>
      <c r="D16" s="4" t="s">
        <v>17</v>
      </c>
      <c r="E16" s="148">
        <v>1.165710639924223</v>
      </c>
      <c r="F16" s="148">
        <v>0.52651677011967923</v>
      </c>
      <c r="H16" s="4" t="s">
        <v>23</v>
      </c>
      <c r="I16" s="148">
        <v>2.3183938058389866</v>
      </c>
      <c r="J16" s="148">
        <v>2.7761529074627638</v>
      </c>
      <c r="K16" s="4" t="s">
        <v>17</v>
      </c>
      <c r="L16" s="148">
        <v>0.73353262491419291</v>
      </c>
      <c r="M16" s="148">
        <v>1.9985605769379322</v>
      </c>
      <c r="O16" s="4" t="s">
        <v>23</v>
      </c>
      <c r="P16" s="148">
        <v>0</v>
      </c>
      <c r="Q16" s="148">
        <v>0.81699688016924044</v>
      </c>
      <c r="R16" s="4" t="s">
        <v>17</v>
      </c>
      <c r="S16" s="148">
        <v>0</v>
      </c>
      <c r="T16" s="148">
        <v>2.4786253551100725</v>
      </c>
    </row>
    <row r="17" spans="1:20" x14ac:dyDescent="0.25">
      <c r="A17" s="4" t="s">
        <v>27</v>
      </c>
      <c r="B17" s="148">
        <v>1.7900458220694369</v>
      </c>
      <c r="C17" s="148">
        <v>0.42897429168345269</v>
      </c>
      <c r="D17" s="4" t="s">
        <v>30</v>
      </c>
      <c r="E17" s="148">
        <v>1.9625921445940577</v>
      </c>
      <c r="F17" s="148">
        <v>1.7900458220694369</v>
      </c>
      <c r="H17" s="4" t="s">
        <v>27</v>
      </c>
      <c r="I17" s="148">
        <v>0.98364404262891802</v>
      </c>
      <c r="J17" s="148">
        <v>0.44684620148511689</v>
      </c>
      <c r="K17" s="4" t="s">
        <v>30</v>
      </c>
      <c r="L17" s="148">
        <v>1.0905657890923763</v>
      </c>
      <c r="M17" s="148">
        <v>0.82564998024823943</v>
      </c>
      <c r="O17" s="4" t="s">
        <v>27</v>
      </c>
      <c r="P17" s="148">
        <v>2.7732153754282511</v>
      </c>
      <c r="Q17" s="148">
        <v>0.38539785691829059</v>
      </c>
      <c r="R17" s="4" t="s">
        <v>30</v>
      </c>
      <c r="S17" s="148">
        <v>8.280082900658897</v>
      </c>
      <c r="T17" s="148">
        <v>2.7732153754282511</v>
      </c>
    </row>
    <row r="18" spans="1:20" x14ac:dyDescent="0.25">
      <c r="A18" s="4" t="s">
        <v>29</v>
      </c>
      <c r="B18" s="148">
        <v>0.16726191276504171</v>
      </c>
      <c r="C18" s="148">
        <v>2.1651876634069023</v>
      </c>
      <c r="D18" s="4" t="s">
        <v>149</v>
      </c>
      <c r="E18" s="148">
        <v>0.12713954533370311</v>
      </c>
      <c r="F18" s="148">
        <v>0.16726191276504171</v>
      </c>
      <c r="H18" s="4" t="s">
        <v>29</v>
      </c>
      <c r="I18" s="148">
        <v>1.066015569339827</v>
      </c>
      <c r="J18" s="148">
        <v>0.86710317808416015</v>
      </c>
      <c r="K18" s="4" t="s">
        <v>149</v>
      </c>
      <c r="L18" s="148">
        <v>1.4101168327728586</v>
      </c>
      <c r="M18" s="148">
        <v>1.9635123853488887</v>
      </c>
      <c r="O18" s="4" t="s">
        <v>29</v>
      </c>
      <c r="P18" s="148">
        <v>0</v>
      </c>
      <c r="Q18" s="148">
        <v>0</v>
      </c>
      <c r="R18" s="4" t="s">
        <v>149</v>
      </c>
      <c r="S18" s="148">
        <v>0.48949502954302893</v>
      </c>
      <c r="T18" s="148">
        <v>0</v>
      </c>
    </row>
    <row r="19" spans="1:20" x14ac:dyDescent="0.25">
      <c r="A19" s="61" t="s">
        <v>33</v>
      </c>
      <c r="B19" s="149">
        <v>1</v>
      </c>
      <c r="C19" s="149">
        <v>0.79784970069135508</v>
      </c>
      <c r="D19" s="61" t="s">
        <v>33</v>
      </c>
      <c r="E19" s="149">
        <v>0.84433338629521371</v>
      </c>
      <c r="F19" s="149">
        <v>1.0884340490723561</v>
      </c>
      <c r="H19" s="61" t="s">
        <v>33</v>
      </c>
      <c r="I19" s="149">
        <v>1</v>
      </c>
      <c r="J19" s="149">
        <v>1.2551840007369475</v>
      </c>
      <c r="K19" s="61" t="s">
        <v>33</v>
      </c>
      <c r="L19" s="149">
        <v>0.9661988783076666</v>
      </c>
      <c r="M19" s="149">
        <v>1.3630076702953442</v>
      </c>
      <c r="O19" s="61" t="s">
        <v>33</v>
      </c>
      <c r="P19" s="149">
        <v>0.99999999999999989</v>
      </c>
      <c r="Q19" s="149">
        <v>1.9794251081185341</v>
      </c>
      <c r="R19" s="61" t="s">
        <v>33</v>
      </c>
      <c r="S19" s="149">
        <v>2.281714170448415</v>
      </c>
      <c r="T19" s="149">
        <v>2.4038416441459103</v>
      </c>
    </row>
    <row r="20" spans="1:20" x14ac:dyDescent="0.25">
      <c r="A20" s="61" t="s">
        <v>34</v>
      </c>
      <c r="B20" s="149">
        <v>0.79910761527235463</v>
      </c>
      <c r="C20" s="149">
        <v>0.64672578638988898</v>
      </c>
      <c r="D20" s="61" t="s">
        <v>34</v>
      </c>
      <c r="E20" s="149">
        <v>0.62938057785480161</v>
      </c>
      <c r="F20" s="149">
        <v>1.1189940312793532</v>
      </c>
      <c r="H20" s="61" t="s">
        <v>34</v>
      </c>
      <c r="I20" s="149">
        <v>0.61983956174775479</v>
      </c>
      <c r="J20" s="149">
        <v>0.6715783642424894</v>
      </c>
      <c r="K20" s="61" t="s">
        <v>34</v>
      </c>
      <c r="L20" s="149">
        <v>0.59376815405411187</v>
      </c>
      <c r="M20" s="149">
        <v>0.64875053963297424</v>
      </c>
      <c r="O20" s="61" t="s">
        <v>34</v>
      </c>
      <c r="P20" s="149">
        <v>1.1517394259373948</v>
      </c>
      <c r="Q20" s="149">
        <v>1.5642300503562669</v>
      </c>
      <c r="R20" s="61" t="s">
        <v>34</v>
      </c>
      <c r="S20" s="149">
        <v>2.8993557241725818</v>
      </c>
      <c r="T20" s="149">
        <v>2.1302877855208795</v>
      </c>
    </row>
    <row r="21" spans="1:20" x14ac:dyDescent="0.25">
      <c r="A21" s="61" t="s">
        <v>160</v>
      </c>
      <c r="B21" s="61"/>
      <c r="C21" s="149">
        <v>0.46110539897346137</v>
      </c>
      <c r="D21" s="61" t="s">
        <v>160</v>
      </c>
      <c r="E21" s="61"/>
      <c r="F21" s="149">
        <v>0.42082554811114814</v>
      </c>
      <c r="H21" s="61" t="s">
        <v>160</v>
      </c>
      <c r="I21" s="61"/>
      <c r="J21" s="149">
        <v>0.18277555753225999</v>
      </c>
      <c r="K21" s="61" t="s">
        <v>160</v>
      </c>
      <c r="L21" s="61"/>
      <c r="M21" s="149">
        <v>9.1881542710240252E-2</v>
      </c>
      <c r="O21" s="61" t="s">
        <v>160</v>
      </c>
      <c r="P21" s="61"/>
      <c r="Q21" s="149">
        <v>2.8743424558902175E-2</v>
      </c>
      <c r="R21" s="61" t="s">
        <v>160</v>
      </c>
      <c r="S21" s="61"/>
      <c r="T21" s="149">
        <v>0.90041791319028563</v>
      </c>
    </row>
    <row r="24" spans="1:20" x14ac:dyDescent="0.25">
      <c r="A24" s="61" t="s">
        <v>334</v>
      </c>
      <c r="H24" s="61" t="s">
        <v>335</v>
      </c>
      <c r="O24" s="61" t="s">
        <v>336</v>
      </c>
    </row>
    <row r="25" spans="1:20" x14ac:dyDescent="0.25">
      <c r="A25" s="20" t="s">
        <v>40</v>
      </c>
      <c r="B25" s="38" t="s">
        <v>243</v>
      </c>
      <c r="C25" s="38" t="s">
        <v>244</v>
      </c>
      <c r="D25" s="147" t="s">
        <v>41</v>
      </c>
      <c r="E25" s="38" t="s">
        <v>243</v>
      </c>
      <c r="F25" s="38" t="s">
        <v>244</v>
      </c>
      <c r="H25" s="20" t="s">
        <v>40</v>
      </c>
      <c r="I25" s="38" t="s">
        <v>243</v>
      </c>
      <c r="J25" s="38" t="s">
        <v>244</v>
      </c>
      <c r="K25" s="147" t="s">
        <v>41</v>
      </c>
      <c r="L25" s="38" t="s">
        <v>243</v>
      </c>
      <c r="M25" s="38" t="s">
        <v>244</v>
      </c>
      <c r="O25" s="20" t="s">
        <v>40</v>
      </c>
      <c r="P25" s="38" t="s">
        <v>243</v>
      </c>
      <c r="Q25" s="38" t="s">
        <v>244</v>
      </c>
      <c r="R25" s="147" t="s">
        <v>41</v>
      </c>
      <c r="S25" s="38" t="s">
        <v>243</v>
      </c>
      <c r="T25" s="38" t="s">
        <v>244</v>
      </c>
    </row>
    <row r="26" spans="1:20" x14ac:dyDescent="0.25">
      <c r="A26" s="3" t="s">
        <v>0</v>
      </c>
      <c r="B26" s="38"/>
      <c r="C26" s="38"/>
      <c r="D26" s="3" t="s">
        <v>0</v>
      </c>
      <c r="E26" s="38"/>
      <c r="F26" s="38"/>
      <c r="H26" s="3" t="s">
        <v>0</v>
      </c>
      <c r="I26" s="38"/>
      <c r="J26" s="38"/>
      <c r="K26" s="3" t="s">
        <v>0</v>
      </c>
      <c r="L26" s="38"/>
      <c r="M26" s="38"/>
      <c r="O26" s="3" t="s">
        <v>0</v>
      </c>
      <c r="P26" s="38"/>
      <c r="Q26" s="38"/>
      <c r="R26" s="3" t="s">
        <v>0</v>
      </c>
      <c r="S26" s="38"/>
      <c r="T26" s="38"/>
    </row>
    <row r="27" spans="1:20" x14ac:dyDescent="0.25">
      <c r="A27" s="4" t="s">
        <v>5</v>
      </c>
      <c r="B27" s="148">
        <v>0.67331627593450338</v>
      </c>
      <c r="C27" s="148">
        <v>0.82569548528414283</v>
      </c>
      <c r="D27" s="4" t="s">
        <v>10</v>
      </c>
      <c r="E27" s="148">
        <v>1.8435304033927318</v>
      </c>
      <c r="F27" s="148">
        <v>0.29628565403392298</v>
      </c>
      <c r="H27" s="4" t="s">
        <v>5</v>
      </c>
      <c r="I27" s="148">
        <v>0</v>
      </c>
      <c r="J27" s="148">
        <v>0.85953330522929217</v>
      </c>
      <c r="K27" s="4" t="s">
        <v>10</v>
      </c>
      <c r="L27" s="148">
        <v>0.45357772642530281</v>
      </c>
      <c r="M27" s="148">
        <v>1.0665616750578386</v>
      </c>
      <c r="O27" s="4" t="s">
        <v>5</v>
      </c>
      <c r="P27" s="148">
        <v>0.23781631834200131</v>
      </c>
      <c r="Q27" s="148">
        <v>1.0830758214862706</v>
      </c>
      <c r="R27" s="4" t="s">
        <v>10</v>
      </c>
      <c r="S27" s="148">
        <v>0.40538164488536055</v>
      </c>
      <c r="T27" s="148">
        <v>1.1671641492869347</v>
      </c>
    </row>
    <row r="28" spans="1:20" x14ac:dyDescent="0.25">
      <c r="A28" s="4" t="s">
        <v>14</v>
      </c>
      <c r="B28" s="148">
        <v>0.81751368023573057</v>
      </c>
      <c r="C28" s="148">
        <v>0.52512246340653712</v>
      </c>
      <c r="D28" s="4" t="s">
        <v>18</v>
      </c>
      <c r="E28" s="148">
        <v>0.7057053158455272</v>
      </c>
      <c r="F28" s="148">
        <v>0.79319680214667176</v>
      </c>
      <c r="H28" s="4" t="s">
        <v>14</v>
      </c>
      <c r="I28" s="148">
        <v>1.1146525640417306</v>
      </c>
      <c r="J28" s="148">
        <v>1.4045620780459214</v>
      </c>
      <c r="K28" s="4" t="s">
        <v>18</v>
      </c>
      <c r="L28" s="148">
        <v>1.264408981810593</v>
      </c>
      <c r="M28" s="148">
        <v>1.0975969535913981</v>
      </c>
      <c r="O28" s="4" t="s">
        <v>14</v>
      </c>
      <c r="P28" s="148">
        <v>0.83963631997553312</v>
      </c>
      <c r="Q28" s="148">
        <v>0.56586976189924343</v>
      </c>
      <c r="R28" s="4" t="s">
        <v>18</v>
      </c>
      <c r="S28" s="148">
        <v>1.4512694768013497</v>
      </c>
      <c r="T28" s="148">
        <v>8.9940077403806412E-2</v>
      </c>
    </row>
    <row r="29" spans="1:20" x14ac:dyDescent="0.25">
      <c r="A29" s="4" t="s">
        <v>19</v>
      </c>
      <c r="B29" s="148">
        <v>0.67224821628883669</v>
      </c>
      <c r="C29" s="148">
        <v>1.1672571753940841</v>
      </c>
      <c r="D29" s="21" t="s">
        <v>20</v>
      </c>
      <c r="E29" s="148"/>
      <c r="F29" s="148"/>
      <c r="H29" s="4" t="s">
        <v>19</v>
      </c>
      <c r="I29" s="148">
        <v>1.9601601467807541</v>
      </c>
      <c r="J29" s="148">
        <v>1.3810802086051674</v>
      </c>
      <c r="K29" s="21" t="s">
        <v>20</v>
      </c>
      <c r="L29" s="148"/>
      <c r="M29" s="148"/>
      <c r="O29" s="4" t="s">
        <v>19</v>
      </c>
      <c r="P29" s="148">
        <v>1.2245835618002923</v>
      </c>
      <c r="Q29" s="148">
        <v>0.36067708176255259</v>
      </c>
      <c r="R29" s="21" t="s">
        <v>20</v>
      </c>
      <c r="S29" s="148"/>
      <c r="T29" s="148"/>
    </row>
    <row r="30" spans="1:20" x14ac:dyDescent="0.25">
      <c r="A30" s="4" t="s">
        <v>22</v>
      </c>
      <c r="B30" s="148">
        <v>1.3214149859564084</v>
      </c>
      <c r="C30" s="148">
        <v>1.0308229020009012</v>
      </c>
      <c r="D30" s="4" t="s">
        <v>21</v>
      </c>
      <c r="E30" s="148">
        <v>1.0722751290417301</v>
      </c>
      <c r="F30" s="148">
        <v>0.97664905054587514</v>
      </c>
      <c r="H30" s="4" t="s">
        <v>22</v>
      </c>
      <c r="I30" s="148">
        <v>1.2418396487506558</v>
      </c>
      <c r="J30" s="148">
        <v>2.2111630756590399</v>
      </c>
      <c r="K30" s="4" t="s">
        <v>21</v>
      </c>
      <c r="L30" s="148">
        <v>0.57971456885966466</v>
      </c>
      <c r="M30" s="148">
        <v>1.1943784142403855</v>
      </c>
      <c r="O30" s="4" t="s">
        <v>22</v>
      </c>
      <c r="P30" s="148">
        <v>1.6693504068832368</v>
      </c>
      <c r="Q30" s="148">
        <v>3.7253588472018246</v>
      </c>
      <c r="R30" s="4" t="s">
        <v>21</v>
      </c>
      <c r="S30" s="148">
        <v>0.57078989897124344</v>
      </c>
      <c r="T30" s="148">
        <v>0.81919761375529732</v>
      </c>
    </row>
    <row r="31" spans="1:20" x14ac:dyDescent="0.25">
      <c r="A31" s="4" t="s">
        <v>26</v>
      </c>
      <c r="B31" s="148">
        <v>1.3075695640806941</v>
      </c>
      <c r="C31" s="148">
        <v>0.62352628995296377</v>
      </c>
      <c r="D31" s="4" t="s">
        <v>24</v>
      </c>
      <c r="E31" s="148">
        <v>1.1562999907184264</v>
      </c>
      <c r="F31" s="148">
        <v>1.4048334269353686</v>
      </c>
      <c r="H31" s="4" t="s">
        <v>26</v>
      </c>
      <c r="I31" s="148">
        <v>1.7136882203851984</v>
      </c>
      <c r="J31" s="148">
        <v>0.64076185733942925</v>
      </c>
      <c r="K31" s="4" t="s">
        <v>24</v>
      </c>
      <c r="L31" s="148">
        <v>1.2067048720142575</v>
      </c>
      <c r="M31" s="148">
        <v>1.4927758915968685</v>
      </c>
      <c r="O31" s="4" t="s">
        <v>26</v>
      </c>
      <c r="P31" s="148">
        <v>0.85291733055787455</v>
      </c>
      <c r="Q31" s="148">
        <v>0.42937451588215481</v>
      </c>
      <c r="R31" s="4" t="s">
        <v>24</v>
      </c>
      <c r="S31" s="148">
        <v>1.2973768388260478</v>
      </c>
      <c r="T31" s="148">
        <v>1.139502439990455</v>
      </c>
    </row>
    <row r="32" spans="1:20" x14ac:dyDescent="0.25">
      <c r="A32" s="21" t="s">
        <v>42</v>
      </c>
      <c r="B32" s="148"/>
      <c r="C32" s="148"/>
      <c r="D32" s="4" t="s">
        <v>25</v>
      </c>
      <c r="E32" s="148">
        <v>0.81793570829385098</v>
      </c>
      <c r="F32" s="148">
        <v>0.52692392339550587</v>
      </c>
      <c r="H32" s="21" t="s">
        <v>42</v>
      </c>
      <c r="I32" s="148"/>
      <c r="J32" s="148"/>
      <c r="K32" s="4" t="s">
        <v>25</v>
      </c>
      <c r="L32" s="148">
        <v>1.4793969253862675</v>
      </c>
      <c r="M32" s="148">
        <v>1.9443939816809204</v>
      </c>
      <c r="O32" s="21" t="s">
        <v>42</v>
      </c>
      <c r="P32" s="148"/>
      <c r="Q32" s="148"/>
      <c r="R32" s="4" t="s">
        <v>25</v>
      </c>
      <c r="S32" s="148">
        <v>0.58834371352526282</v>
      </c>
      <c r="T32" s="148">
        <v>1.3454059731859869</v>
      </c>
    </row>
    <row r="33" spans="1:20" x14ac:dyDescent="0.25">
      <c r="A33" s="4" t="s">
        <v>28</v>
      </c>
      <c r="B33" s="148">
        <v>1.1918600354467668</v>
      </c>
      <c r="C33" s="148">
        <v>0.77829500058118117</v>
      </c>
      <c r="D33" s="4" t="s">
        <v>31</v>
      </c>
      <c r="E33" s="148">
        <v>2.2824138173206423</v>
      </c>
      <c r="F33" s="148">
        <v>1.1918600354467668</v>
      </c>
      <c r="H33" s="4" t="s">
        <v>28</v>
      </c>
      <c r="I33" s="148">
        <v>1.5987150522572682</v>
      </c>
      <c r="J33" s="148">
        <v>1.1475462492718207</v>
      </c>
      <c r="K33" s="4" t="s">
        <v>31</v>
      </c>
      <c r="L33" s="148">
        <v>1.9507451547851566</v>
      </c>
      <c r="M33" s="148">
        <v>1.5987150522572682</v>
      </c>
      <c r="O33" s="4" t="s">
        <v>28</v>
      </c>
      <c r="P33" s="148">
        <v>1.3658426386262219</v>
      </c>
      <c r="Q33" s="148">
        <v>1.4044660325425484</v>
      </c>
      <c r="R33" s="4" t="s">
        <v>31</v>
      </c>
      <c r="S33" s="148">
        <v>0.76664351222858662</v>
      </c>
      <c r="T33" s="148">
        <v>1.3658426386262219</v>
      </c>
    </row>
    <row r="34" spans="1:20" x14ac:dyDescent="0.25">
      <c r="A34" s="4" t="s">
        <v>150</v>
      </c>
      <c r="B34" s="148">
        <v>1.1346420344320902</v>
      </c>
      <c r="C34" s="148">
        <v>0</v>
      </c>
      <c r="D34" s="4" t="s">
        <v>32</v>
      </c>
      <c r="E34" s="148">
        <v>0.76291491481004681</v>
      </c>
      <c r="F34" s="148">
        <v>1.1346420344320902</v>
      </c>
      <c r="H34" s="4" t="s">
        <v>150</v>
      </c>
      <c r="I34" s="148">
        <v>0.33272825562891717</v>
      </c>
      <c r="J34" s="148">
        <v>0.46906846019463805</v>
      </c>
      <c r="K34" s="4" t="s">
        <v>32</v>
      </c>
      <c r="L34" s="148">
        <v>0.35581841261253233</v>
      </c>
      <c r="M34" s="148">
        <v>0.33272825562891717</v>
      </c>
      <c r="O34" s="4" t="s">
        <v>150</v>
      </c>
      <c r="P34" s="148">
        <v>0.82850585070450056</v>
      </c>
      <c r="Q34" s="148">
        <v>0.57514853007085964</v>
      </c>
      <c r="R34" s="4" t="s">
        <v>32</v>
      </c>
      <c r="S34" s="148">
        <v>1.4419410815957019</v>
      </c>
      <c r="T34" s="148">
        <v>0.82850585070450056</v>
      </c>
    </row>
    <row r="35" spans="1:20" x14ac:dyDescent="0.25">
      <c r="A35" s="4" t="s">
        <v>3</v>
      </c>
      <c r="B35" s="148">
        <v>0.79962657167211304</v>
      </c>
      <c r="C35" s="148">
        <v>0.93385049950399013</v>
      </c>
      <c r="D35" s="4" t="s">
        <v>7</v>
      </c>
      <c r="E35" s="148">
        <v>0.97410951810142921</v>
      </c>
      <c r="F35" s="148">
        <v>0.54437475947925795</v>
      </c>
      <c r="H35" s="4" t="s">
        <v>3</v>
      </c>
      <c r="I35" s="148">
        <v>0.63577601378936854</v>
      </c>
      <c r="J35" s="148">
        <v>0.78419849551096144</v>
      </c>
      <c r="K35" s="4" t="s">
        <v>7</v>
      </c>
      <c r="L35" s="148">
        <v>0.82415290709923916</v>
      </c>
      <c r="M35" s="148">
        <v>0.28487119754928325</v>
      </c>
      <c r="O35" s="4" t="s">
        <v>3</v>
      </c>
      <c r="P35" s="148">
        <v>1.0694265280617328</v>
      </c>
      <c r="Q35" s="148">
        <v>0.65427814663531836</v>
      </c>
      <c r="R35" s="4" t="s">
        <v>7</v>
      </c>
      <c r="S35" s="148">
        <v>1.5179947710636403</v>
      </c>
      <c r="T35" s="148">
        <v>1.7882654666541304</v>
      </c>
    </row>
    <row r="36" spans="1:20" x14ac:dyDescent="0.25">
      <c r="A36" s="4" t="s">
        <v>9</v>
      </c>
      <c r="B36" s="148">
        <v>0.9603183101185192</v>
      </c>
      <c r="C36" s="148">
        <v>1.1187867012190271</v>
      </c>
      <c r="D36" s="4" t="s">
        <v>8</v>
      </c>
      <c r="E36" s="148">
        <v>1.8053501389667257</v>
      </c>
      <c r="F36" s="148">
        <v>0.91398489245073899</v>
      </c>
      <c r="H36" s="4" t="s">
        <v>9</v>
      </c>
      <c r="I36" s="148">
        <v>0.52639467919313587</v>
      </c>
      <c r="J36" s="148">
        <v>0.64486239444135163</v>
      </c>
      <c r="K36" s="4" t="s">
        <v>8</v>
      </c>
      <c r="L36" s="148">
        <v>1.804159687668526</v>
      </c>
      <c r="M36" s="148">
        <v>1.5957249688741435</v>
      </c>
      <c r="O36" s="4" t="s">
        <v>9</v>
      </c>
      <c r="P36" s="148">
        <v>0</v>
      </c>
      <c r="Q36" s="148">
        <v>0.40975018465918239</v>
      </c>
      <c r="R36" s="4" t="s">
        <v>8</v>
      </c>
      <c r="S36" s="148">
        <v>8.1901900592990559E-2</v>
      </c>
      <c r="T36" s="148">
        <v>1.1846761036055828</v>
      </c>
    </row>
    <row r="37" spans="1:20" x14ac:dyDescent="0.25">
      <c r="A37" s="4" t="s">
        <v>11</v>
      </c>
      <c r="B37" s="148">
        <v>0.92259321080288637</v>
      </c>
      <c r="C37" s="148">
        <v>0.82536763870601759</v>
      </c>
      <c r="D37" s="4" t="s">
        <v>13</v>
      </c>
      <c r="E37" s="148">
        <v>0.17154720701299309</v>
      </c>
      <c r="F37" s="148">
        <v>0.20316233406934858</v>
      </c>
      <c r="H37" s="4" t="s">
        <v>11</v>
      </c>
      <c r="I37" s="148">
        <v>0.3733605293848769</v>
      </c>
      <c r="J37" s="148">
        <v>0.52123683897952888</v>
      </c>
      <c r="K37" s="4" t="s">
        <v>13</v>
      </c>
      <c r="L37" s="148">
        <v>0.93246146171215016</v>
      </c>
      <c r="M37" s="148">
        <v>0.45589067655796839</v>
      </c>
      <c r="O37" s="4" t="s">
        <v>11</v>
      </c>
      <c r="P37" s="148">
        <v>1.4666407212857899</v>
      </c>
      <c r="Q37" s="148">
        <v>0.45631489565497724</v>
      </c>
      <c r="R37" s="4" t="s">
        <v>13</v>
      </c>
      <c r="S37" s="148">
        <v>1.2184100242394806</v>
      </c>
      <c r="T37" s="148">
        <v>0.69037440831724906</v>
      </c>
    </row>
    <row r="38" spans="1:20" x14ac:dyDescent="0.25">
      <c r="A38" s="4" t="s">
        <v>12</v>
      </c>
      <c r="B38" s="148"/>
      <c r="C38" s="148"/>
      <c r="D38" s="4" t="s">
        <v>16</v>
      </c>
      <c r="E38" s="148">
        <v>0.79582082278763788</v>
      </c>
      <c r="F38" s="148">
        <v>1.1886810967978487</v>
      </c>
      <c r="H38" s="4" t="s">
        <v>12</v>
      </c>
      <c r="I38" s="148"/>
      <c r="J38" s="148"/>
      <c r="K38" s="4" t="s">
        <v>16</v>
      </c>
      <c r="L38" s="148">
        <v>0.49134264878295081</v>
      </c>
      <c r="M38" s="148">
        <v>0.85611022548947424</v>
      </c>
      <c r="O38" s="4" t="s">
        <v>12</v>
      </c>
      <c r="P38" s="148"/>
      <c r="Q38" s="148"/>
      <c r="R38" s="4" t="s">
        <v>16</v>
      </c>
      <c r="S38" s="148">
        <v>0.9608122210634974</v>
      </c>
      <c r="T38" s="148">
        <v>0.46922561174703464</v>
      </c>
    </row>
    <row r="39" spans="1:20" x14ac:dyDescent="0.25">
      <c r="A39" s="4" t="s">
        <v>23</v>
      </c>
      <c r="B39" s="148">
        <v>1.1694178016709245</v>
      </c>
      <c r="C39" s="148">
        <v>1.2540333124238607</v>
      </c>
      <c r="D39" s="4" t="s">
        <v>17</v>
      </c>
      <c r="E39" s="148">
        <v>1.4852632247916169</v>
      </c>
      <c r="F39" s="148">
        <v>1.2535225792105325</v>
      </c>
      <c r="H39" s="4" t="s">
        <v>23</v>
      </c>
      <c r="I39" s="148">
        <v>1.5345510219601717</v>
      </c>
      <c r="J39" s="148">
        <v>1.1733484084926269</v>
      </c>
      <c r="K39" s="4" t="s">
        <v>17</v>
      </c>
      <c r="L39" s="148">
        <v>0.48115229212762695</v>
      </c>
      <c r="M39" s="148">
        <v>1.3787293780905936</v>
      </c>
      <c r="O39" s="4" t="s">
        <v>23</v>
      </c>
      <c r="P39" s="148">
        <v>1.3200053426503322</v>
      </c>
      <c r="Q39" s="148">
        <v>1.5761596417495434</v>
      </c>
      <c r="R39" s="4" t="s">
        <v>17</v>
      </c>
      <c r="S39" s="148">
        <v>0.42734602621465928</v>
      </c>
      <c r="T39" s="148">
        <v>0.97372053636603795</v>
      </c>
    </row>
    <row r="40" spans="1:20" x14ac:dyDescent="0.25">
      <c r="A40" s="4" t="s">
        <v>27</v>
      </c>
      <c r="B40" s="148">
        <v>0.16814628843746779</v>
      </c>
      <c r="C40" s="148">
        <v>5.5441489679042191E-3</v>
      </c>
      <c r="D40" s="4" t="s">
        <v>30</v>
      </c>
      <c r="E40" s="148">
        <v>0</v>
      </c>
      <c r="F40" s="148">
        <v>0.16814628843746779</v>
      </c>
      <c r="H40" s="4" t="s">
        <v>27</v>
      </c>
      <c r="I40" s="148">
        <v>1.1652034195463021</v>
      </c>
      <c r="J40" s="148">
        <v>0.47949919132252317</v>
      </c>
      <c r="K40" s="4" t="s">
        <v>30</v>
      </c>
      <c r="L40" s="148">
        <v>1.4475939648819602</v>
      </c>
      <c r="M40" s="148">
        <v>1.1652034195463021</v>
      </c>
      <c r="O40" s="4" t="s">
        <v>27</v>
      </c>
      <c r="P40" s="148">
        <v>1.0770191711503641</v>
      </c>
      <c r="Q40" s="148">
        <v>0.8666320450334305</v>
      </c>
      <c r="R40" s="4" t="s">
        <v>30</v>
      </c>
      <c r="S40" s="148">
        <v>0.99192239030594687</v>
      </c>
      <c r="T40" s="148">
        <v>1.0770191711503641</v>
      </c>
    </row>
    <row r="41" spans="1:20" x14ac:dyDescent="0.25">
      <c r="A41" s="4" t="s">
        <v>29</v>
      </c>
      <c r="B41" s="148">
        <v>1.8613330249230602</v>
      </c>
      <c r="C41" s="148">
        <v>2.0085790492805238</v>
      </c>
      <c r="D41" s="4" t="s">
        <v>149</v>
      </c>
      <c r="E41" s="148">
        <v>0.41223441765778718</v>
      </c>
      <c r="F41" s="148">
        <v>1.8613330249230602</v>
      </c>
      <c r="H41" s="4" t="s">
        <v>29</v>
      </c>
      <c r="I41" s="148">
        <v>0.80293044828162163</v>
      </c>
      <c r="J41" s="148">
        <v>1.2841097186274153</v>
      </c>
      <c r="K41" s="4" t="s">
        <v>149</v>
      </c>
      <c r="L41" s="148">
        <v>0.93973740160046315</v>
      </c>
      <c r="M41" s="148">
        <v>0.80293044828162163</v>
      </c>
      <c r="O41" s="4" t="s">
        <v>29</v>
      </c>
      <c r="P41" s="148">
        <v>1.0482558099621198</v>
      </c>
      <c r="Q41" s="148">
        <v>0.83389592165556647</v>
      </c>
      <c r="R41" s="4" t="s">
        <v>149</v>
      </c>
      <c r="S41" s="148">
        <v>0.53984533501211918</v>
      </c>
      <c r="T41" s="148">
        <v>1.0482558099621198</v>
      </c>
    </row>
    <row r="42" spans="1:20" x14ac:dyDescent="0.25">
      <c r="A42" s="61" t="s">
        <v>33</v>
      </c>
      <c r="B42" s="149">
        <v>1</v>
      </c>
      <c r="C42" s="149">
        <v>0.85360620513239494</v>
      </c>
      <c r="D42" s="61" t="s">
        <v>33</v>
      </c>
      <c r="E42" s="149">
        <v>1.0203857577672246</v>
      </c>
      <c r="F42" s="149">
        <v>0.88982827873603276</v>
      </c>
      <c r="H42" s="61" t="s">
        <v>33</v>
      </c>
      <c r="I42" s="149">
        <v>1</v>
      </c>
      <c r="J42" s="149">
        <v>1.0000746370553628</v>
      </c>
      <c r="K42" s="61" t="s">
        <v>33</v>
      </c>
      <c r="L42" s="149">
        <v>1.0150690718404778</v>
      </c>
      <c r="M42" s="149">
        <v>1.0904721813173559</v>
      </c>
      <c r="O42" s="61" t="s">
        <v>33</v>
      </c>
      <c r="P42" s="149">
        <v>0.99999999999999989</v>
      </c>
      <c r="Q42" s="149">
        <v>0.9954616481718056</v>
      </c>
      <c r="R42" s="61" t="s">
        <v>33</v>
      </c>
      <c r="S42" s="149">
        <v>0.87571277395184899</v>
      </c>
      <c r="T42" s="149">
        <v>0.99907827505398006</v>
      </c>
    </row>
    <row r="43" spans="1:20" x14ac:dyDescent="0.25">
      <c r="A43" s="61" t="s">
        <v>34</v>
      </c>
      <c r="B43" s="149">
        <v>0.40932705463480534</v>
      </c>
      <c r="C43" s="149">
        <v>0.52573646860010792</v>
      </c>
      <c r="D43" s="61" t="s">
        <v>34</v>
      </c>
      <c r="E43" s="149">
        <v>0.65128046813013674</v>
      </c>
      <c r="F43" s="149">
        <v>0.49574496237984128</v>
      </c>
      <c r="H43" s="61" t="s">
        <v>34</v>
      </c>
      <c r="I43" s="149">
        <v>0.60608805847079283</v>
      </c>
      <c r="J43" s="149">
        <v>0.50098618762330038</v>
      </c>
      <c r="K43" s="61" t="s">
        <v>34</v>
      </c>
      <c r="L43" s="149">
        <v>0.52237979117962996</v>
      </c>
      <c r="M43" s="149">
        <v>0.50139698104010577</v>
      </c>
      <c r="O43" s="61" t="s">
        <v>34</v>
      </c>
      <c r="P43" s="149">
        <v>0.46754948132234897</v>
      </c>
      <c r="Q43" s="149">
        <v>0.90562924586081928</v>
      </c>
      <c r="R43" s="61" t="s">
        <v>34</v>
      </c>
      <c r="S43" s="149">
        <v>0.45851235611710445</v>
      </c>
      <c r="T43" s="149">
        <v>0.41443716925811547</v>
      </c>
    </row>
    <row r="44" spans="1:20" x14ac:dyDescent="0.25">
      <c r="A44" s="61" t="s">
        <v>160</v>
      </c>
      <c r="B44" s="61"/>
      <c r="C44" s="149">
        <v>0.24065101070163156</v>
      </c>
      <c r="D44" s="61" t="s">
        <v>160</v>
      </c>
      <c r="E44" s="61"/>
      <c r="F44" s="149">
        <v>0.51612378940414771</v>
      </c>
      <c r="H44" s="61" t="s">
        <v>160</v>
      </c>
      <c r="I44" s="61"/>
      <c r="J44" s="149">
        <v>0.99965116798074316</v>
      </c>
      <c r="K44" s="61" t="s">
        <v>160</v>
      </c>
      <c r="L44" s="61"/>
      <c r="M44" s="149">
        <v>0.54822762741913866</v>
      </c>
      <c r="O44" s="61" t="s">
        <v>160</v>
      </c>
      <c r="P44" s="61"/>
      <c r="Q44" s="149">
        <v>0.98385309133561105</v>
      </c>
      <c r="R44" s="61" t="s">
        <v>160</v>
      </c>
      <c r="S44" s="61"/>
      <c r="T44" s="149">
        <v>0.50840803834909454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3BDF-9A63-4F05-83B2-75AF187E9FE3}">
  <dimension ref="A1:AL65"/>
  <sheetViews>
    <sheetView topLeftCell="A32" zoomScale="70" zoomScaleNormal="70" workbookViewId="0">
      <selection activeCell="J56" sqref="H1:J56"/>
    </sheetView>
  </sheetViews>
  <sheetFormatPr defaultRowHeight="15" x14ac:dyDescent="0.25"/>
  <cols>
    <col min="1" max="1" width="28.85546875" style="4" bestFit="1" customWidth="1"/>
    <col min="2" max="2" width="3.140625" style="38" customWidth="1"/>
    <col min="3" max="3" width="11.7109375" style="38" bestFit="1" customWidth="1"/>
    <col min="4" max="4" width="16.85546875" style="38" customWidth="1"/>
    <col min="5" max="5" width="19.28515625" style="38" customWidth="1"/>
    <col min="6" max="6" width="19.140625" style="38" customWidth="1"/>
    <col min="7" max="7" width="9.140625" style="38"/>
    <col min="8" max="8" width="19" style="38" customWidth="1"/>
    <col min="9" max="9" width="26.28515625" style="38" customWidth="1"/>
    <col min="10" max="10" width="25.5703125" style="38" customWidth="1"/>
    <col min="11" max="11" width="11" style="38" bestFit="1" customWidth="1"/>
    <col min="12" max="12" width="20.28515625" style="38" customWidth="1"/>
    <col min="13" max="13" width="12.85546875" style="38" customWidth="1"/>
    <col min="14" max="14" width="15" style="38" customWidth="1"/>
    <col min="15" max="15" width="12.5703125" style="38" customWidth="1"/>
    <col min="16" max="16384" width="9.140625" style="38"/>
  </cols>
  <sheetData>
    <row r="1" spans="1:38" x14ac:dyDescent="0.25">
      <c r="A1" s="61"/>
      <c r="B1" s="61"/>
      <c r="C1" s="61" t="s">
        <v>272</v>
      </c>
      <c r="E1" s="61"/>
      <c r="F1" s="61"/>
      <c r="I1" s="38" t="s">
        <v>237</v>
      </c>
    </row>
    <row r="2" spans="1:38" x14ac:dyDescent="0.25">
      <c r="A2" s="62" t="s">
        <v>221</v>
      </c>
      <c r="B2" s="84"/>
      <c r="C2" s="83" t="s">
        <v>178</v>
      </c>
      <c r="D2" s="62" t="s">
        <v>222</v>
      </c>
      <c r="E2" s="62" t="s">
        <v>223</v>
      </c>
      <c r="F2" s="62" t="s">
        <v>224</v>
      </c>
      <c r="G2" s="4"/>
      <c r="H2" s="4"/>
      <c r="I2" s="52" t="s">
        <v>222</v>
      </c>
      <c r="J2" s="52" t="s">
        <v>224</v>
      </c>
      <c r="L2" s="38" t="s">
        <v>238</v>
      </c>
    </row>
    <row r="3" spans="1:38" x14ac:dyDescent="0.25">
      <c r="A3" s="78">
        <v>1.7394053999999999</v>
      </c>
      <c r="B3" s="77"/>
      <c r="C3" s="77" t="s">
        <v>179</v>
      </c>
      <c r="D3" s="79">
        <f>200/A3</f>
        <v>114.98182079922255</v>
      </c>
      <c r="E3" s="79">
        <v>50</v>
      </c>
      <c r="F3" s="79">
        <f>200-E3-D3</f>
        <v>35.018179200777453</v>
      </c>
      <c r="G3" s="5"/>
      <c r="H3" s="77" t="s">
        <v>179</v>
      </c>
      <c r="I3" s="5">
        <f>200/A3</f>
        <v>114.98182079922255</v>
      </c>
      <c r="J3" s="5">
        <f>200-I3</f>
        <v>85.018179200777453</v>
      </c>
      <c r="L3" s="38" t="s">
        <v>242</v>
      </c>
      <c r="M3" s="11">
        <v>1</v>
      </c>
      <c r="N3" s="11">
        <v>2</v>
      </c>
      <c r="O3" s="11">
        <v>3</v>
      </c>
      <c r="P3" s="11">
        <v>4</v>
      </c>
      <c r="Q3" s="11">
        <v>5</v>
      </c>
      <c r="R3" s="11">
        <v>6</v>
      </c>
      <c r="S3" s="11">
        <v>7</v>
      </c>
      <c r="T3" s="11">
        <v>8</v>
      </c>
      <c r="U3" s="11">
        <v>9</v>
      </c>
      <c r="V3" s="11">
        <v>10</v>
      </c>
      <c r="W3" s="11">
        <v>11</v>
      </c>
      <c r="X3" s="11">
        <v>12</v>
      </c>
      <c r="Y3" s="11">
        <v>13</v>
      </c>
      <c r="Z3" s="11">
        <v>14</v>
      </c>
      <c r="AA3" s="11">
        <v>15</v>
      </c>
      <c r="AB3" s="11">
        <v>16</v>
      </c>
      <c r="AC3" s="11">
        <v>17</v>
      </c>
      <c r="AD3" s="11">
        <v>18</v>
      </c>
      <c r="AE3" s="11">
        <v>19</v>
      </c>
      <c r="AF3" s="11">
        <v>20</v>
      </c>
      <c r="AG3" s="11">
        <v>21</v>
      </c>
      <c r="AH3" s="11">
        <v>22</v>
      </c>
      <c r="AI3" s="11">
        <v>23</v>
      </c>
      <c r="AJ3" s="11">
        <v>24</v>
      </c>
      <c r="AK3" s="11">
        <v>25</v>
      </c>
      <c r="AL3" s="67">
        <v>26</v>
      </c>
    </row>
    <row r="4" spans="1:38" x14ac:dyDescent="0.25">
      <c r="A4" s="47">
        <v>2.4584280000000001</v>
      </c>
      <c r="C4" s="38" t="s">
        <v>180</v>
      </c>
      <c r="D4" s="5">
        <f t="shared" ref="D4:D26" si="0">200/A4</f>
        <v>81.352799431181225</v>
      </c>
      <c r="E4" s="5">
        <v>50</v>
      </c>
      <c r="F4" s="5">
        <f>200-D4-E4</f>
        <v>68.647200568818775</v>
      </c>
      <c r="G4" s="5"/>
      <c r="H4" s="38" t="s">
        <v>180</v>
      </c>
      <c r="I4" s="5">
        <f t="shared" ref="I4:I32" si="1">200/A4</f>
        <v>81.352799431181225</v>
      </c>
      <c r="J4" s="5">
        <f t="shared" ref="J4:J56" si="2">200-I4</f>
        <v>118.64720056881877</v>
      </c>
      <c r="M4" s="48" t="s">
        <v>241</v>
      </c>
      <c r="N4" s="54" t="s">
        <v>10</v>
      </c>
      <c r="O4" s="49"/>
      <c r="P4" s="54" t="s">
        <v>5</v>
      </c>
      <c r="Q4" s="49"/>
      <c r="R4" s="54" t="s">
        <v>7</v>
      </c>
      <c r="S4" s="49"/>
      <c r="T4" s="48" t="s">
        <v>3</v>
      </c>
      <c r="U4" s="48"/>
      <c r="V4" s="48" t="s">
        <v>18</v>
      </c>
      <c r="W4" s="48"/>
      <c r="X4" s="54" t="s">
        <v>14</v>
      </c>
      <c r="Y4" s="49"/>
      <c r="Z4" s="56" t="s">
        <v>8</v>
      </c>
      <c r="AA4" s="49"/>
      <c r="AB4" s="56" t="s">
        <v>9</v>
      </c>
      <c r="AC4" s="49"/>
      <c r="AD4" s="56" t="s">
        <v>20</v>
      </c>
      <c r="AE4" s="49"/>
      <c r="AF4" s="56" t="s">
        <v>19</v>
      </c>
      <c r="AG4" s="49"/>
      <c r="AH4" s="54" t="s">
        <v>21</v>
      </c>
      <c r="AI4" s="50"/>
      <c r="AJ4" s="4" t="s">
        <v>22</v>
      </c>
      <c r="AK4" s="54"/>
      <c r="AL4" s="69"/>
    </row>
    <row r="5" spans="1:38" x14ac:dyDescent="0.25">
      <c r="A5" s="47">
        <v>3.5307276000000001</v>
      </c>
      <c r="C5" s="38" t="s">
        <v>181</v>
      </c>
      <c r="D5" s="5">
        <f t="shared" si="0"/>
        <v>56.645548073433929</v>
      </c>
      <c r="E5" s="5">
        <v>50</v>
      </c>
      <c r="F5" s="5">
        <f t="shared" ref="F5:F32" si="3">200-D5-E5</f>
        <v>93.354451926566071</v>
      </c>
      <c r="G5" s="4"/>
      <c r="H5" s="38" t="s">
        <v>181</v>
      </c>
      <c r="I5" s="5">
        <f t="shared" si="1"/>
        <v>56.645548073433929</v>
      </c>
      <c r="J5" s="5">
        <f t="shared" si="2"/>
        <v>143.35445192656607</v>
      </c>
      <c r="M5" s="51"/>
      <c r="N5" s="55" t="s">
        <v>243</v>
      </c>
      <c r="O5" s="52" t="s">
        <v>244</v>
      </c>
      <c r="P5" s="55" t="s">
        <v>243</v>
      </c>
      <c r="Q5" s="52" t="s">
        <v>244</v>
      </c>
      <c r="R5" s="55" t="s">
        <v>243</v>
      </c>
      <c r="S5" s="52" t="s">
        <v>244</v>
      </c>
      <c r="T5" s="51" t="s">
        <v>243</v>
      </c>
      <c r="U5" s="51" t="s">
        <v>244</v>
      </c>
      <c r="V5" s="51" t="s">
        <v>243</v>
      </c>
      <c r="W5" s="51" t="s">
        <v>244</v>
      </c>
      <c r="X5" s="55" t="s">
        <v>243</v>
      </c>
      <c r="Y5" s="52" t="s">
        <v>244</v>
      </c>
      <c r="Z5" s="55" t="s">
        <v>243</v>
      </c>
      <c r="AA5" s="52" t="s">
        <v>244</v>
      </c>
      <c r="AB5" s="55" t="s">
        <v>243</v>
      </c>
      <c r="AC5" s="52" t="s">
        <v>244</v>
      </c>
      <c r="AD5" s="55" t="s">
        <v>243</v>
      </c>
      <c r="AE5" s="52" t="s">
        <v>244</v>
      </c>
      <c r="AF5" s="55" t="s">
        <v>243</v>
      </c>
      <c r="AG5" s="52" t="s">
        <v>244</v>
      </c>
      <c r="AH5" s="55" t="s">
        <v>243</v>
      </c>
      <c r="AI5" s="53" t="s">
        <v>244</v>
      </c>
      <c r="AJ5" s="52" t="s">
        <v>243</v>
      </c>
      <c r="AK5" s="55" t="s">
        <v>244</v>
      </c>
      <c r="AL5" s="71"/>
    </row>
    <row r="6" spans="1:38" x14ac:dyDescent="0.25">
      <c r="A6" s="47">
        <v>1.8391541999999999</v>
      </c>
      <c r="C6" s="38" t="s">
        <v>182</v>
      </c>
      <c r="D6" s="5">
        <f t="shared" si="0"/>
        <v>108.74563970764387</v>
      </c>
      <c r="E6" s="5">
        <v>50</v>
      </c>
      <c r="F6" s="5">
        <f t="shared" si="3"/>
        <v>41.254360292356125</v>
      </c>
      <c r="G6" s="4"/>
      <c r="H6" s="38" t="s">
        <v>182</v>
      </c>
      <c r="I6" s="5">
        <f t="shared" si="1"/>
        <v>108.74563970764387</v>
      </c>
      <c r="J6" s="5">
        <f t="shared" si="2"/>
        <v>91.254360292356125</v>
      </c>
      <c r="M6" s="4"/>
      <c r="N6" s="4"/>
      <c r="O6" s="4"/>
      <c r="P6" s="4"/>
      <c r="Q6" s="4"/>
      <c r="R6" s="4"/>
      <c r="S6" s="4"/>
      <c r="T6" s="4"/>
      <c r="U6" s="4"/>
      <c r="V6" s="4"/>
      <c r="W6" s="4"/>
      <c r="X6" s="4"/>
      <c r="Y6" s="4"/>
      <c r="Z6" s="4"/>
      <c r="AA6" s="4"/>
      <c r="AB6" s="4"/>
      <c r="AC6" s="4"/>
      <c r="AD6" s="4"/>
      <c r="AE6" s="4"/>
      <c r="AF6" s="4"/>
      <c r="AG6" s="4"/>
      <c r="AH6" s="4"/>
      <c r="AI6" s="4"/>
      <c r="AJ6" s="4"/>
      <c r="AK6" s="4"/>
      <c r="AL6" s="4"/>
    </row>
    <row r="7" spans="1:38" x14ac:dyDescent="0.25">
      <c r="A7" s="47">
        <v>3.3395424000000005</v>
      </c>
      <c r="C7" s="38" t="s">
        <v>183</v>
      </c>
      <c r="D7" s="5">
        <f t="shared" si="0"/>
        <v>59.888444596481236</v>
      </c>
      <c r="E7" s="5">
        <v>50</v>
      </c>
      <c r="F7" s="5">
        <f t="shared" si="3"/>
        <v>90.111555403518764</v>
      </c>
      <c r="G7" s="4"/>
      <c r="H7" s="38" t="s">
        <v>183</v>
      </c>
      <c r="I7" s="5">
        <f t="shared" si="1"/>
        <v>59.888444596481236</v>
      </c>
      <c r="J7" s="5">
        <f t="shared" si="2"/>
        <v>140.11155540351876</v>
      </c>
      <c r="M7" s="4"/>
      <c r="N7" s="4"/>
      <c r="O7" s="4"/>
      <c r="P7" s="4"/>
      <c r="Q7" s="4"/>
      <c r="R7" s="4"/>
      <c r="S7" s="4"/>
      <c r="T7" s="4"/>
      <c r="U7" s="4"/>
      <c r="V7" s="4"/>
      <c r="W7" s="4"/>
      <c r="X7" s="4"/>
      <c r="Y7" s="4"/>
      <c r="Z7" s="4"/>
      <c r="AA7" s="4"/>
      <c r="AB7" s="4"/>
      <c r="AC7" s="4"/>
      <c r="AD7" s="4"/>
      <c r="AE7" s="4"/>
      <c r="AF7" s="4"/>
      <c r="AG7" s="4"/>
      <c r="AH7" s="4"/>
      <c r="AI7" s="4"/>
      <c r="AJ7" s="4"/>
      <c r="AK7" s="4"/>
      <c r="AL7" s="4"/>
    </row>
    <row r="8" spans="1:38" x14ac:dyDescent="0.25">
      <c r="A8" s="75">
        <v>2.0802138000000001</v>
      </c>
      <c r="B8" s="74"/>
      <c r="C8" s="74" t="s">
        <v>184</v>
      </c>
      <c r="D8" s="76">
        <f t="shared" si="0"/>
        <v>96.143963663734937</v>
      </c>
      <c r="E8" s="76">
        <v>50</v>
      </c>
      <c r="F8" s="76">
        <f t="shared" si="3"/>
        <v>53.856036336265063</v>
      </c>
      <c r="G8" s="4"/>
      <c r="H8" s="74" t="s">
        <v>184</v>
      </c>
      <c r="I8" s="76">
        <f t="shared" si="1"/>
        <v>96.143963663734937</v>
      </c>
      <c r="J8" s="76">
        <f t="shared" si="2"/>
        <v>103.85603633626506</v>
      </c>
      <c r="L8" s="38" t="s">
        <v>239</v>
      </c>
      <c r="M8" s="4"/>
      <c r="N8" s="4"/>
      <c r="O8" s="4"/>
      <c r="P8" s="4"/>
      <c r="Q8" s="4"/>
      <c r="R8" s="4"/>
      <c r="S8" s="4"/>
      <c r="T8" s="4"/>
      <c r="U8" s="4"/>
      <c r="V8" s="4"/>
      <c r="W8" s="4"/>
      <c r="X8" s="4"/>
      <c r="Y8" s="4"/>
      <c r="Z8" s="4"/>
      <c r="AA8" s="4"/>
      <c r="AB8" s="4"/>
      <c r="AC8" s="4"/>
      <c r="AD8" s="4"/>
      <c r="AE8" s="4"/>
      <c r="AF8" s="4"/>
      <c r="AG8" s="4"/>
      <c r="AH8" s="4"/>
      <c r="AI8" s="4"/>
      <c r="AJ8" s="4"/>
      <c r="AK8" s="4"/>
      <c r="AL8" s="4"/>
    </row>
    <row r="9" spans="1:38" x14ac:dyDescent="0.25">
      <c r="A9" s="78">
        <v>2.7784553999999999</v>
      </c>
      <c r="B9" s="77"/>
      <c r="C9" s="77" t="s">
        <v>185</v>
      </c>
      <c r="D9" s="79">
        <f>200/A9</f>
        <v>71.982440315579652</v>
      </c>
      <c r="E9" s="79">
        <v>50</v>
      </c>
      <c r="F9" s="5">
        <f t="shared" si="3"/>
        <v>78.017559684420348</v>
      </c>
      <c r="G9" s="4"/>
      <c r="H9" s="77" t="s">
        <v>185</v>
      </c>
      <c r="I9" s="5">
        <f t="shared" si="1"/>
        <v>71.982440315579652</v>
      </c>
      <c r="J9" s="5">
        <f t="shared" si="2"/>
        <v>128.01755968442035</v>
      </c>
      <c r="L9" s="38" t="s">
        <v>242</v>
      </c>
      <c r="M9" s="57">
        <v>1</v>
      </c>
      <c r="N9" s="11">
        <v>2</v>
      </c>
      <c r="O9" s="60">
        <v>3</v>
      </c>
      <c r="P9" s="11">
        <v>4</v>
      </c>
      <c r="Q9" s="60">
        <v>5</v>
      </c>
      <c r="R9" s="11">
        <v>6</v>
      </c>
      <c r="S9" s="60">
        <v>7</v>
      </c>
      <c r="T9" s="11">
        <v>8</v>
      </c>
      <c r="U9" s="57">
        <v>9</v>
      </c>
      <c r="V9" s="11">
        <v>10</v>
      </c>
      <c r="W9" s="57">
        <v>11</v>
      </c>
      <c r="X9" s="11">
        <v>12</v>
      </c>
      <c r="Y9" s="60">
        <v>13</v>
      </c>
      <c r="Z9" s="57">
        <v>14</v>
      </c>
      <c r="AA9" s="57">
        <v>15</v>
      </c>
      <c r="AB9" s="57">
        <v>16</v>
      </c>
      <c r="AC9" s="11">
        <v>17</v>
      </c>
      <c r="AD9" s="58">
        <v>18</v>
      </c>
      <c r="AE9" s="58">
        <v>19</v>
      </c>
      <c r="AF9" s="58">
        <v>20</v>
      </c>
      <c r="AG9" s="60">
        <v>21</v>
      </c>
      <c r="AH9" s="67">
        <v>22</v>
      </c>
      <c r="AI9" s="67">
        <v>23</v>
      </c>
      <c r="AJ9" s="67">
        <v>24</v>
      </c>
      <c r="AK9" s="67">
        <v>25</v>
      </c>
      <c r="AL9" s="67">
        <v>26</v>
      </c>
    </row>
    <row r="10" spans="1:38" x14ac:dyDescent="0.25">
      <c r="A10" s="47">
        <v>2.4002412</v>
      </c>
      <c r="C10" s="38" t="s">
        <v>186</v>
      </c>
      <c r="D10" s="5">
        <f t="shared" si="0"/>
        <v>83.324959174936254</v>
      </c>
      <c r="E10" s="5">
        <v>50</v>
      </c>
      <c r="F10" s="5">
        <f t="shared" si="3"/>
        <v>66.675040825063746</v>
      </c>
      <c r="G10" s="4"/>
      <c r="H10" s="38" t="s">
        <v>186</v>
      </c>
      <c r="I10" s="5">
        <f t="shared" si="1"/>
        <v>83.324959174936254</v>
      </c>
      <c r="J10" s="5">
        <f t="shared" si="2"/>
        <v>116.67504082506375</v>
      </c>
      <c r="M10" s="48" t="s">
        <v>241</v>
      </c>
      <c r="N10" s="59" t="s">
        <v>13</v>
      </c>
      <c r="O10" s="49"/>
      <c r="P10" s="59" t="s">
        <v>11</v>
      </c>
      <c r="Q10" s="49"/>
      <c r="R10" s="59" t="s">
        <v>24</v>
      </c>
      <c r="S10" s="49"/>
      <c r="T10" s="59" t="s">
        <v>26</v>
      </c>
      <c r="U10" s="48"/>
      <c r="V10" s="59" t="s">
        <v>16</v>
      </c>
      <c r="W10" s="48"/>
      <c r="X10" s="59" t="s">
        <v>12</v>
      </c>
      <c r="Y10" s="49"/>
      <c r="Z10" s="63" t="s">
        <v>25</v>
      </c>
      <c r="AA10" s="48"/>
      <c r="AB10" s="63" t="s">
        <v>42</v>
      </c>
      <c r="AC10" s="54"/>
      <c r="AD10" s="64" t="s">
        <v>17</v>
      </c>
      <c r="AE10" s="50"/>
      <c r="AF10" s="64" t="s">
        <v>23</v>
      </c>
      <c r="AG10" s="49"/>
      <c r="AH10" s="72"/>
      <c r="AI10" s="69"/>
      <c r="AJ10" s="69"/>
      <c r="AK10" s="69"/>
      <c r="AL10" s="69"/>
    </row>
    <row r="11" spans="1:38" x14ac:dyDescent="0.25">
      <c r="A11" s="47">
        <v>1.9887774</v>
      </c>
      <c r="C11" s="80" t="s">
        <v>187</v>
      </c>
      <c r="D11" s="5">
        <f t="shared" si="0"/>
        <v>100.56429643659466</v>
      </c>
      <c r="E11" s="5">
        <v>50</v>
      </c>
      <c r="F11" s="5">
        <f t="shared" si="3"/>
        <v>49.43570356340534</v>
      </c>
      <c r="G11" s="4"/>
      <c r="H11" s="80" t="s">
        <v>187</v>
      </c>
      <c r="I11" s="5">
        <f t="shared" si="1"/>
        <v>100.56429643659466</v>
      </c>
      <c r="J11" s="5">
        <f t="shared" si="2"/>
        <v>99.43570356340534</v>
      </c>
      <c r="M11" s="51"/>
      <c r="N11" s="55" t="s">
        <v>243</v>
      </c>
      <c r="O11" s="52" t="s">
        <v>244</v>
      </c>
      <c r="P11" s="55" t="s">
        <v>243</v>
      </c>
      <c r="Q11" s="52" t="s">
        <v>244</v>
      </c>
      <c r="R11" s="55" t="s">
        <v>243</v>
      </c>
      <c r="S11" s="52" t="s">
        <v>244</v>
      </c>
      <c r="T11" s="55" t="s">
        <v>243</v>
      </c>
      <c r="U11" s="51" t="s">
        <v>244</v>
      </c>
      <c r="V11" s="55" t="s">
        <v>243</v>
      </c>
      <c r="W11" s="51" t="s">
        <v>244</v>
      </c>
      <c r="X11" s="55" t="s">
        <v>243</v>
      </c>
      <c r="Y11" s="52" t="s">
        <v>244</v>
      </c>
      <c r="Z11" s="51" t="s">
        <v>243</v>
      </c>
      <c r="AA11" s="51" t="s">
        <v>244</v>
      </c>
      <c r="AB11" s="51" t="s">
        <v>243</v>
      </c>
      <c r="AC11" s="55" t="s">
        <v>244</v>
      </c>
      <c r="AD11" s="53" t="s">
        <v>243</v>
      </c>
      <c r="AE11" s="53" t="s">
        <v>244</v>
      </c>
      <c r="AF11" s="53" t="s">
        <v>243</v>
      </c>
      <c r="AG11" s="52" t="s">
        <v>244</v>
      </c>
      <c r="AH11" s="73" t="s">
        <v>243</v>
      </c>
      <c r="AI11" s="71" t="s">
        <v>244</v>
      </c>
      <c r="AJ11" s="71" t="s">
        <v>243</v>
      </c>
      <c r="AK11" s="71" t="s">
        <v>244</v>
      </c>
      <c r="AL11" s="71"/>
    </row>
    <row r="12" spans="1:38" x14ac:dyDescent="0.25">
      <c r="A12" s="47">
        <v>1.9389029999999998</v>
      </c>
      <c r="C12" s="80" t="s">
        <v>188</v>
      </c>
      <c r="D12" s="5">
        <f t="shared" si="0"/>
        <v>103.15111173689453</v>
      </c>
      <c r="E12" s="5">
        <v>50</v>
      </c>
      <c r="F12" s="5">
        <f t="shared" si="3"/>
        <v>46.848888263105465</v>
      </c>
      <c r="G12" s="4"/>
      <c r="H12" s="80" t="s">
        <v>188</v>
      </c>
      <c r="I12" s="5">
        <f t="shared" si="1"/>
        <v>103.15111173689453</v>
      </c>
      <c r="J12" s="5">
        <f t="shared" si="2"/>
        <v>96.848888263105465</v>
      </c>
      <c r="M12" s="4"/>
      <c r="N12" s="4"/>
      <c r="O12" s="4"/>
      <c r="P12" s="4"/>
      <c r="Q12" s="4"/>
      <c r="R12" s="4"/>
      <c r="S12" s="4"/>
      <c r="T12" s="4"/>
      <c r="U12" s="4"/>
      <c r="V12" s="4"/>
      <c r="W12" s="4"/>
      <c r="X12" s="4"/>
      <c r="Y12" s="4"/>
      <c r="Z12" s="4"/>
      <c r="AA12" s="4"/>
      <c r="AB12" s="4"/>
      <c r="AC12" s="4"/>
      <c r="AD12" s="4"/>
      <c r="AE12" s="4"/>
      <c r="AF12" s="4"/>
      <c r="AG12" s="4"/>
      <c r="AH12" s="4"/>
      <c r="AI12" s="4"/>
      <c r="AJ12" s="4"/>
      <c r="AK12" s="4"/>
      <c r="AL12" s="4"/>
    </row>
    <row r="13" spans="1:38" x14ac:dyDescent="0.25">
      <c r="A13" s="47">
        <v>1.5357516000000002</v>
      </c>
      <c r="C13" s="38" t="s">
        <v>189</v>
      </c>
      <c r="D13" s="5">
        <f t="shared" si="0"/>
        <v>130.22939386812291</v>
      </c>
      <c r="E13" s="5">
        <v>50</v>
      </c>
      <c r="F13" s="5">
        <f t="shared" si="3"/>
        <v>19.770606131877088</v>
      </c>
      <c r="G13" s="4"/>
      <c r="H13" s="38" t="s">
        <v>189</v>
      </c>
      <c r="I13" s="5">
        <f t="shared" si="1"/>
        <v>130.22939386812291</v>
      </c>
      <c r="J13" s="5">
        <f t="shared" si="2"/>
        <v>69.770606131877088</v>
      </c>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pans="1:38" x14ac:dyDescent="0.25">
      <c r="A14" s="75">
        <v>2.2880238000000004</v>
      </c>
      <c r="B14" s="74"/>
      <c r="C14" s="74" t="s">
        <v>190</v>
      </c>
      <c r="D14" s="76">
        <f t="shared" si="0"/>
        <v>87.41167814775352</v>
      </c>
      <c r="E14" s="76">
        <v>50</v>
      </c>
      <c r="F14" s="76">
        <f t="shared" si="3"/>
        <v>62.58832185224648</v>
      </c>
      <c r="G14" s="4"/>
      <c r="H14" s="74" t="s">
        <v>190</v>
      </c>
      <c r="I14" s="76">
        <f t="shared" si="1"/>
        <v>87.41167814775352</v>
      </c>
      <c r="J14" s="76">
        <f t="shared" si="2"/>
        <v>112.58832185224648</v>
      </c>
      <c r="L14" s="38" t="s">
        <v>240</v>
      </c>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pans="1:38" x14ac:dyDescent="0.25">
      <c r="A15" s="78">
        <v>2.2298370000000003</v>
      </c>
      <c r="B15" s="77"/>
      <c r="C15" s="77" t="s">
        <v>191</v>
      </c>
      <c r="D15" s="79">
        <f>200/A15</f>
        <v>89.69265466489253</v>
      </c>
      <c r="E15" s="79">
        <v>50</v>
      </c>
      <c r="F15" s="5">
        <f t="shared" si="3"/>
        <v>60.30734533510747</v>
      </c>
      <c r="G15" s="4"/>
      <c r="H15" s="77" t="s">
        <v>191</v>
      </c>
      <c r="I15" s="5">
        <f t="shared" si="1"/>
        <v>89.69265466489253</v>
      </c>
      <c r="J15" s="5">
        <f t="shared" si="2"/>
        <v>110.30734533510747</v>
      </c>
      <c r="L15" s="38" t="s">
        <v>242</v>
      </c>
      <c r="M15" s="57">
        <v>1</v>
      </c>
      <c r="N15" s="11">
        <v>2</v>
      </c>
      <c r="O15" s="60">
        <v>3</v>
      </c>
      <c r="P15" s="11">
        <v>4</v>
      </c>
      <c r="Q15" s="60">
        <v>5</v>
      </c>
      <c r="R15" s="11">
        <v>6</v>
      </c>
      <c r="S15" s="60">
        <v>7</v>
      </c>
      <c r="T15" s="11">
        <v>8</v>
      </c>
      <c r="U15" s="57">
        <v>9</v>
      </c>
      <c r="V15" s="11">
        <v>10</v>
      </c>
      <c r="W15" s="57">
        <v>11</v>
      </c>
      <c r="X15" s="11">
        <v>12</v>
      </c>
      <c r="Y15" s="60">
        <v>13</v>
      </c>
      <c r="Z15" s="11">
        <v>14</v>
      </c>
      <c r="AA15" s="60">
        <v>15</v>
      </c>
      <c r="AB15" s="11">
        <v>16</v>
      </c>
      <c r="AC15" s="11">
        <v>17</v>
      </c>
      <c r="AD15" s="66">
        <v>18</v>
      </c>
      <c r="AE15" s="67">
        <v>19</v>
      </c>
      <c r="AF15" s="67">
        <v>20</v>
      </c>
      <c r="AG15" s="67">
        <v>21</v>
      </c>
      <c r="AH15" s="67">
        <v>22</v>
      </c>
      <c r="AI15" s="67">
        <v>23</v>
      </c>
      <c r="AJ15" s="67">
        <v>24</v>
      </c>
      <c r="AK15" s="67">
        <v>25</v>
      </c>
      <c r="AL15" s="67">
        <v>26</v>
      </c>
    </row>
    <row r="16" spans="1:38" x14ac:dyDescent="0.25">
      <c r="A16" s="47">
        <v>1.7726550000000003</v>
      </c>
      <c r="C16" s="38" t="s">
        <v>192</v>
      </c>
      <c r="D16" s="5">
        <f t="shared" si="0"/>
        <v>112.82511261356551</v>
      </c>
      <c r="E16" s="5">
        <v>50</v>
      </c>
      <c r="F16" s="5">
        <f t="shared" si="3"/>
        <v>37.174887386434492</v>
      </c>
      <c r="G16" s="4"/>
      <c r="H16" s="38" t="s">
        <v>192</v>
      </c>
      <c r="I16" s="5">
        <f t="shared" si="1"/>
        <v>112.82511261356551</v>
      </c>
      <c r="J16" s="5">
        <f t="shared" si="2"/>
        <v>87.174887386434492</v>
      </c>
      <c r="M16" s="48" t="s">
        <v>241</v>
      </c>
      <c r="N16" s="65" t="s">
        <v>31</v>
      </c>
      <c r="O16" s="49"/>
      <c r="P16" s="65" t="s">
        <v>28</v>
      </c>
      <c r="Q16" s="49"/>
      <c r="R16" s="65" t="s">
        <v>30</v>
      </c>
      <c r="S16" s="49"/>
      <c r="T16" s="65" t="s">
        <v>27</v>
      </c>
      <c r="U16" s="48"/>
      <c r="V16" s="65" t="s">
        <v>32</v>
      </c>
      <c r="W16" s="48"/>
      <c r="X16" s="65" t="s">
        <v>150</v>
      </c>
      <c r="Y16" s="49"/>
      <c r="Z16" s="65" t="s">
        <v>149</v>
      </c>
      <c r="AA16" s="49"/>
      <c r="AB16" s="65" t="s">
        <v>29</v>
      </c>
      <c r="AC16" s="54"/>
      <c r="AD16" s="37"/>
      <c r="AE16" s="68"/>
      <c r="AF16" s="37"/>
      <c r="AG16" s="68"/>
      <c r="AH16" s="69"/>
      <c r="AI16" s="69"/>
      <c r="AJ16" s="69"/>
      <c r="AK16" s="69"/>
      <c r="AL16" s="69"/>
    </row>
    <row r="17" spans="1:38" x14ac:dyDescent="0.25">
      <c r="A17" s="47">
        <v>2.4418031999999998</v>
      </c>
      <c r="C17" s="38" t="s">
        <v>193</v>
      </c>
      <c r="D17" s="5">
        <f t="shared" si="0"/>
        <v>81.90668273348156</v>
      </c>
      <c r="E17" s="5">
        <v>50</v>
      </c>
      <c r="F17" s="5">
        <f t="shared" si="3"/>
        <v>68.09331726651844</v>
      </c>
      <c r="G17" s="4"/>
      <c r="H17" s="38" t="s">
        <v>193</v>
      </c>
      <c r="I17" s="5">
        <f>200/A17</f>
        <v>81.90668273348156</v>
      </c>
      <c r="J17" s="5">
        <f t="shared" si="2"/>
        <v>118.09331726651844</v>
      </c>
      <c r="M17" s="51"/>
      <c r="N17" s="55" t="s">
        <v>243</v>
      </c>
      <c r="O17" s="52" t="s">
        <v>244</v>
      </c>
      <c r="P17" s="55" t="s">
        <v>243</v>
      </c>
      <c r="Q17" s="52" t="s">
        <v>244</v>
      </c>
      <c r="R17" s="55" t="s">
        <v>243</v>
      </c>
      <c r="S17" s="52" t="s">
        <v>244</v>
      </c>
      <c r="T17" s="55" t="s">
        <v>243</v>
      </c>
      <c r="U17" s="51" t="s">
        <v>244</v>
      </c>
      <c r="V17" s="55" t="s">
        <v>243</v>
      </c>
      <c r="W17" s="51" t="s">
        <v>244</v>
      </c>
      <c r="X17" s="55" t="s">
        <v>243</v>
      </c>
      <c r="Y17" s="52" t="s">
        <v>244</v>
      </c>
      <c r="Z17" s="55" t="s">
        <v>243</v>
      </c>
      <c r="AA17" s="52" t="s">
        <v>244</v>
      </c>
      <c r="AB17" s="55" t="s">
        <v>243</v>
      </c>
      <c r="AC17" s="55" t="s">
        <v>244</v>
      </c>
      <c r="AD17" s="70" t="s">
        <v>243</v>
      </c>
      <c r="AE17" s="70" t="s">
        <v>244</v>
      </c>
      <c r="AF17" s="70" t="s">
        <v>243</v>
      </c>
      <c r="AG17" s="70" t="s">
        <v>244</v>
      </c>
      <c r="AH17" s="71" t="s">
        <v>243</v>
      </c>
      <c r="AI17" s="71" t="s">
        <v>244</v>
      </c>
      <c r="AJ17" s="71" t="s">
        <v>243</v>
      </c>
      <c r="AK17" s="71" t="s">
        <v>244</v>
      </c>
      <c r="AL17" s="71"/>
    </row>
    <row r="18" spans="1:38" x14ac:dyDescent="0.25">
      <c r="A18" s="47">
        <v>2.1841188000000002</v>
      </c>
      <c r="C18" s="38" t="s">
        <v>194</v>
      </c>
      <c r="D18" s="5">
        <f t="shared" si="0"/>
        <v>91.570110563582887</v>
      </c>
      <c r="E18" s="5">
        <v>50</v>
      </c>
      <c r="F18" s="5">
        <f t="shared" si="3"/>
        <v>58.429889436417113</v>
      </c>
      <c r="G18" s="4"/>
      <c r="H18" s="38" t="s">
        <v>194</v>
      </c>
      <c r="I18" s="5">
        <f>200/A18</f>
        <v>91.570110563582887</v>
      </c>
      <c r="J18" s="5">
        <f t="shared" si="2"/>
        <v>108.42988943641711</v>
      </c>
    </row>
    <row r="19" spans="1:38" x14ac:dyDescent="0.25">
      <c r="A19" s="47">
        <v>2.1384006000000002</v>
      </c>
      <c r="C19" s="38" t="s">
        <v>195</v>
      </c>
      <c r="D19" s="5">
        <f t="shared" si="0"/>
        <v>93.527845063268302</v>
      </c>
      <c r="E19" s="5">
        <v>50</v>
      </c>
      <c r="F19" s="5">
        <f t="shared" si="3"/>
        <v>56.472154936731698</v>
      </c>
      <c r="G19" s="4"/>
      <c r="H19" s="38" t="s">
        <v>195</v>
      </c>
      <c r="I19" s="5">
        <f>200/A19</f>
        <v>93.527845063268302</v>
      </c>
      <c r="J19" s="5">
        <f t="shared" si="2"/>
        <v>106.4721549367317</v>
      </c>
      <c r="L19" s="38" t="s">
        <v>245</v>
      </c>
    </row>
    <row r="20" spans="1:38" x14ac:dyDescent="0.25">
      <c r="A20" s="75">
        <v>1.3570350000000002</v>
      </c>
      <c r="B20" s="74"/>
      <c r="C20" s="74" t="s">
        <v>196</v>
      </c>
      <c r="D20" s="76">
        <f t="shared" si="0"/>
        <v>147.38013389485161</v>
      </c>
      <c r="E20" s="76">
        <v>50</v>
      </c>
      <c r="F20" s="76">
        <f t="shared" si="3"/>
        <v>2.6198661051483896</v>
      </c>
      <c r="G20" s="4"/>
      <c r="H20" s="74" t="s">
        <v>196</v>
      </c>
      <c r="I20" s="76">
        <f t="shared" si="1"/>
        <v>147.38013389485161</v>
      </c>
      <c r="J20" s="76">
        <f t="shared" si="2"/>
        <v>52.61986610514839</v>
      </c>
      <c r="L20" s="85" t="s">
        <v>257</v>
      </c>
      <c r="M20" s="77" t="s">
        <v>247</v>
      </c>
      <c r="N20" s="77" t="s">
        <v>256</v>
      </c>
      <c r="O20" s="77" t="s">
        <v>266</v>
      </c>
      <c r="P20" s="86"/>
    </row>
    <row r="21" spans="1:38" x14ac:dyDescent="0.25">
      <c r="A21" s="47">
        <v>1.9139658000000002</v>
      </c>
      <c r="C21" s="38" t="s">
        <v>197</v>
      </c>
      <c r="D21" s="5">
        <f t="shared" si="0"/>
        <v>104.49507509486324</v>
      </c>
      <c r="E21" s="5">
        <v>50</v>
      </c>
      <c r="F21" s="5">
        <f t="shared" si="3"/>
        <v>45.504924905136761</v>
      </c>
      <c r="G21" s="4"/>
      <c r="H21" s="38" t="s">
        <v>197</v>
      </c>
      <c r="I21" s="5">
        <f t="shared" si="1"/>
        <v>104.49507509486324</v>
      </c>
      <c r="J21" s="5">
        <f t="shared" si="2"/>
        <v>95.504924905136761</v>
      </c>
      <c r="L21" s="87"/>
      <c r="M21" s="38" t="s">
        <v>246</v>
      </c>
      <c r="N21" s="38" t="s">
        <v>255</v>
      </c>
      <c r="O21" s="38" t="s">
        <v>267</v>
      </c>
      <c r="P21" s="64"/>
    </row>
    <row r="22" spans="1:38" x14ac:dyDescent="0.25">
      <c r="A22" s="47">
        <v>1.9264344000000002</v>
      </c>
      <c r="C22" s="38" t="s">
        <v>198</v>
      </c>
      <c r="D22" s="5">
        <f t="shared" si="0"/>
        <v>103.81874410049986</v>
      </c>
      <c r="E22" s="5">
        <v>50</v>
      </c>
      <c r="F22" s="5">
        <f t="shared" si="3"/>
        <v>46.181255899500144</v>
      </c>
      <c r="G22" s="4"/>
      <c r="H22" s="38" t="s">
        <v>198</v>
      </c>
      <c r="I22" s="5">
        <f t="shared" si="1"/>
        <v>103.81874410049986</v>
      </c>
      <c r="J22" s="5">
        <f t="shared" si="2"/>
        <v>96.181255899500144</v>
      </c>
      <c r="L22" s="88"/>
      <c r="M22" s="74" t="s">
        <v>273</v>
      </c>
      <c r="N22" s="74" t="s">
        <v>260</v>
      </c>
      <c r="O22" s="74" t="s">
        <v>269</v>
      </c>
      <c r="P22" s="89"/>
    </row>
    <row r="23" spans="1:38" x14ac:dyDescent="0.25">
      <c r="A23" s="47">
        <v>2.6413008000000002</v>
      </c>
      <c r="C23" s="38" t="s">
        <v>199</v>
      </c>
      <c r="D23" s="5">
        <f t="shared" si="0"/>
        <v>75.720266317263068</v>
      </c>
      <c r="E23" s="5">
        <v>50</v>
      </c>
      <c r="F23" s="5">
        <f t="shared" si="3"/>
        <v>74.279733682736932</v>
      </c>
      <c r="G23" s="4"/>
      <c r="H23" s="38" t="s">
        <v>199</v>
      </c>
      <c r="I23" s="5">
        <f t="shared" si="1"/>
        <v>75.720266317263068</v>
      </c>
      <c r="J23" s="5">
        <f t="shared" si="2"/>
        <v>124.27973368273693</v>
      </c>
    </row>
    <row r="24" spans="1:38" x14ac:dyDescent="0.25">
      <c r="A24" s="47">
        <v>1.7310930000000004</v>
      </c>
      <c r="C24" s="38" t="s">
        <v>200</v>
      </c>
      <c r="D24" s="5">
        <f t="shared" si="0"/>
        <v>115.53394300595055</v>
      </c>
      <c r="E24" s="5">
        <v>50</v>
      </c>
      <c r="F24" s="5">
        <f t="shared" si="3"/>
        <v>34.466056994049453</v>
      </c>
      <c r="G24" s="4"/>
      <c r="H24" s="38" t="s">
        <v>200</v>
      </c>
      <c r="I24" s="5">
        <f t="shared" si="1"/>
        <v>115.53394300595055</v>
      </c>
      <c r="J24" s="5">
        <f t="shared" si="2"/>
        <v>84.466056994049453</v>
      </c>
    </row>
    <row r="25" spans="1:38" x14ac:dyDescent="0.25">
      <c r="A25" s="47">
        <v>2.167494</v>
      </c>
      <c r="C25" s="38" t="s">
        <v>201</v>
      </c>
      <c r="D25" s="5">
        <f t="shared" si="0"/>
        <v>92.272458424337046</v>
      </c>
      <c r="E25" s="5">
        <v>50</v>
      </c>
      <c r="F25" s="5">
        <f t="shared" si="3"/>
        <v>57.727541575662954</v>
      </c>
      <c r="G25" s="4"/>
      <c r="H25" s="38" t="s">
        <v>201</v>
      </c>
      <c r="I25" s="5">
        <f t="shared" si="1"/>
        <v>92.272458424337046</v>
      </c>
      <c r="J25" s="5">
        <f t="shared" si="2"/>
        <v>107.72754157566295</v>
      </c>
      <c r="L25" s="85" t="s">
        <v>258</v>
      </c>
      <c r="M25" s="77" t="s">
        <v>248</v>
      </c>
      <c r="N25" s="77" t="s">
        <v>259</v>
      </c>
      <c r="O25" s="77" t="s">
        <v>266</v>
      </c>
      <c r="P25" s="86"/>
    </row>
    <row r="26" spans="1:38" x14ac:dyDescent="0.25">
      <c r="A26" s="75">
        <v>1.4110656000000001</v>
      </c>
      <c r="B26" s="74"/>
      <c r="C26" s="74" t="s">
        <v>202</v>
      </c>
      <c r="D26" s="5">
        <f t="shared" si="0"/>
        <v>141.7368547571424</v>
      </c>
      <c r="E26" s="76">
        <v>50</v>
      </c>
      <c r="F26" s="76">
        <f t="shared" si="3"/>
        <v>8.263145242857604</v>
      </c>
      <c r="G26" s="4"/>
      <c r="H26" s="74" t="s">
        <v>202</v>
      </c>
      <c r="I26" s="76">
        <f t="shared" si="1"/>
        <v>141.7368547571424</v>
      </c>
      <c r="J26" s="76">
        <f t="shared" si="2"/>
        <v>58.263145242857604</v>
      </c>
      <c r="L26" s="87"/>
      <c r="M26" s="38" t="s">
        <v>250</v>
      </c>
      <c r="N26" s="38" t="s">
        <v>263</v>
      </c>
      <c r="O26" s="38" t="s">
        <v>268</v>
      </c>
      <c r="P26" s="64"/>
    </row>
    <row r="27" spans="1:38" x14ac:dyDescent="0.25">
      <c r="A27" s="78">
        <v>1.8931848000000002</v>
      </c>
      <c r="B27" s="77"/>
      <c r="C27" s="77" t="s">
        <v>203</v>
      </c>
      <c r="D27" s="79">
        <f>200/A27</f>
        <v>105.642090513298</v>
      </c>
      <c r="E27" s="79">
        <v>50</v>
      </c>
      <c r="F27" s="5">
        <f t="shared" si="3"/>
        <v>44.357909486701999</v>
      </c>
      <c r="G27" s="4"/>
      <c r="H27" s="77" t="s">
        <v>203</v>
      </c>
      <c r="I27" s="5">
        <f t="shared" si="1"/>
        <v>105.642090513298</v>
      </c>
      <c r="J27" s="5">
        <f t="shared" si="2"/>
        <v>94.357909486701999</v>
      </c>
      <c r="L27" s="87"/>
      <c r="M27" s="38" t="s">
        <v>252</v>
      </c>
      <c r="N27" s="38" t="s">
        <v>264</v>
      </c>
      <c r="O27" s="38" t="s">
        <v>267</v>
      </c>
      <c r="P27" s="64"/>
    </row>
    <row r="28" spans="1:38" x14ac:dyDescent="0.25">
      <c r="A28" s="47">
        <v>2.0261832000000002</v>
      </c>
      <c r="C28" s="38" t="s">
        <v>204</v>
      </c>
      <c r="D28" s="5">
        <f>200/A28</f>
        <v>98.707757521629816</v>
      </c>
      <c r="E28" s="5">
        <v>50</v>
      </c>
      <c r="F28" s="5">
        <f t="shared" si="3"/>
        <v>51.292242478370184</v>
      </c>
      <c r="G28" s="4"/>
      <c r="H28" s="38" t="s">
        <v>204</v>
      </c>
      <c r="I28" s="5">
        <f t="shared" si="1"/>
        <v>98.707757521629816</v>
      </c>
      <c r="J28" s="5">
        <f t="shared" si="2"/>
        <v>101.29224247837018</v>
      </c>
      <c r="L28" s="90" t="s">
        <v>265</v>
      </c>
      <c r="M28" s="74" t="s">
        <v>251</v>
      </c>
      <c r="N28" s="74" t="s">
        <v>261</v>
      </c>
      <c r="O28" s="74" t="s">
        <v>269</v>
      </c>
      <c r="P28" s="89"/>
    </row>
    <row r="29" spans="1:38" x14ac:dyDescent="0.25">
      <c r="A29" s="47">
        <v>1.8890286000000005</v>
      </c>
      <c r="C29" s="38" t="s">
        <v>205</v>
      </c>
      <c r="D29" s="5">
        <f t="shared" ref="D29:D32" si="4">200/A29</f>
        <v>105.87452196329899</v>
      </c>
      <c r="E29" s="5">
        <v>50</v>
      </c>
      <c r="F29" s="5">
        <f t="shared" si="3"/>
        <v>44.125478036701011</v>
      </c>
      <c r="G29" s="4"/>
      <c r="H29" s="38" t="s">
        <v>205</v>
      </c>
      <c r="I29" s="5">
        <f t="shared" si="1"/>
        <v>105.87452196329899</v>
      </c>
      <c r="J29" s="5">
        <f t="shared" si="2"/>
        <v>94.125478036701011</v>
      </c>
    </row>
    <row r="30" spans="1:38" x14ac:dyDescent="0.25">
      <c r="A30" s="47">
        <v>1.7394054000000003</v>
      </c>
      <c r="C30" s="38" t="s">
        <v>206</v>
      </c>
      <c r="D30" s="5">
        <f t="shared" si="4"/>
        <v>114.98182079922252</v>
      </c>
      <c r="E30" s="5">
        <v>50</v>
      </c>
      <c r="F30" s="5">
        <f t="shared" si="3"/>
        <v>35.018179200777482</v>
      </c>
      <c r="G30" s="4"/>
      <c r="H30" s="38" t="s">
        <v>206</v>
      </c>
      <c r="I30" s="5">
        <f t="shared" si="1"/>
        <v>114.98182079922252</v>
      </c>
      <c r="J30" s="5">
        <f t="shared" si="2"/>
        <v>85.018179200777482</v>
      </c>
    </row>
    <row r="31" spans="1:38" x14ac:dyDescent="0.25">
      <c r="A31" s="47">
        <v>1.5690012000000002</v>
      </c>
      <c r="C31" s="38" t="s">
        <v>207</v>
      </c>
      <c r="D31" s="5">
        <f t="shared" si="4"/>
        <v>127.46962844897759</v>
      </c>
      <c r="E31" s="5">
        <v>50</v>
      </c>
      <c r="F31" s="5">
        <f t="shared" si="3"/>
        <v>22.530371551022412</v>
      </c>
      <c r="G31" s="4"/>
      <c r="H31" s="38" t="s">
        <v>207</v>
      </c>
      <c r="I31" s="5">
        <f t="shared" si="1"/>
        <v>127.46962844897759</v>
      </c>
      <c r="J31" s="5">
        <f t="shared" si="2"/>
        <v>72.530371551022412</v>
      </c>
      <c r="L31" s="85" t="s">
        <v>262</v>
      </c>
      <c r="M31" s="77" t="s">
        <v>253</v>
      </c>
      <c r="N31" s="77" t="s">
        <v>270</v>
      </c>
      <c r="O31" s="77" t="s">
        <v>266</v>
      </c>
      <c r="P31" s="86"/>
    </row>
    <row r="32" spans="1:38" x14ac:dyDescent="0.25">
      <c r="A32" s="75">
        <v>1.419378</v>
      </c>
      <c r="B32" s="74"/>
      <c r="C32" s="81" t="s">
        <v>208</v>
      </c>
      <c r="D32" s="76">
        <f t="shared" si="4"/>
        <v>140.90679156644671</v>
      </c>
      <c r="E32" s="76">
        <v>50</v>
      </c>
      <c r="F32" s="76">
        <f t="shared" si="3"/>
        <v>9.0932084335532863</v>
      </c>
      <c r="G32" s="4"/>
      <c r="H32" s="81" t="s">
        <v>208</v>
      </c>
      <c r="I32" s="76">
        <f t="shared" si="1"/>
        <v>140.90679156644671</v>
      </c>
      <c r="J32" s="76">
        <f t="shared" si="2"/>
        <v>59.093208433553286</v>
      </c>
      <c r="L32" s="87"/>
      <c r="M32" s="38" t="s">
        <v>254</v>
      </c>
      <c r="N32" s="38" t="s">
        <v>270</v>
      </c>
      <c r="O32" s="38" t="s">
        <v>271</v>
      </c>
      <c r="P32" s="64"/>
    </row>
    <row r="33" spans="1:16" x14ac:dyDescent="0.25">
      <c r="A33" s="38"/>
      <c r="G33" s="4"/>
      <c r="H33" s="82" t="s">
        <v>209</v>
      </c>
      <c r="I33" s="5">
        <f>200/A36</f>
        <v>94.076386262589764</v>
      </c>
      <c r="J33" s="5">
        <f t="shared" si="2"/>
        <v>105.92361373741024</v>
      </c>
      <c r="L33" s="88"/>
      <c r="M33" s="74" t="s">
        <v>249</v>
      </c>
      <c r="N33" s="74" t="s">
        <v>260</v>
      </c>
      <c r="O33" s="74" t="s">
        <v>267</v>
      </c>
      <c r="P33" s="89"/>
    </row>
    <row r="34" spans="1:16" x14ac:dyDescent="0.25">
      <c r="A34" s="61"/>
      <c r="B34" s="61"/>
      <c r="C34" s="61" t="s">
        <v>272</v>
      </c>
      <c r="E34" s="61"/>
      <c r="F34" s="61"/>
      <c r="G34" s="4"/>
      <c r="H34" s="38" t="s">
        <v>210</v>
      </c>
      <c r="I34" s="5">
        <v>200</v>
      </c>
      <c r="J34" s="5">
        <f t="shared" si="2"/>
        <v>0</v>
      </c>
    </row>
    <row r="35" spans="1:16" x14ac:dyDescent="0.25">
      <c r="A35" s="62" t="s">
        <v>221</v>
      </c>
      <c r="B35" s="84"/>
      <c r="C35" s="83" t="s">
        <v>178</v>
      </c>
      <c r="D35" s="62" t="s">
        <v>222</v>
      </c>
      <c r="E35" s="62" t="s">
        <v>223</v>
      </c>
      <c r="F35" s="62" t="s">
        <v>224</v>
      </c>
      <c r="G35" s="4"/>
      <c r="H35" s="38" t="s">
        <v>211</v>
      </c>
      <c r="I35" s="5">
        <f t="shared" ref="I35:I56" si="5">200/A38</f>
        <v>147.38013389485161</v>
      </c>
      <c r="J35" s="5">
        <f t="shared" si="2"/>
        <v>52.61986610514839</v>
      </c>
    </row>
    <row r="36" spans="1:16" x14ac:dyDescent="0.25">
      <c r="A36" s="78">
        <v>2.1259320000000002</v>
      </c>
      <c r="B36" s="77"/>
      <c r="C36" s="82" t="s">
        <v>209</v>
      </c>
      <c r="D36" s="79">
        <f>200/A36</f>
        <v>94.076386262589764</v>
      </c>
      <c r="E36" s="79">
        <v>50</v>
      </c>
      <c r="F36" s="79">
        <f>200-E36-D36</f>
        <v>55.923613737410236</v>
      </c>
      <c r="G36" s="4"/>
      <c r="H36" s="38" t="s">
        <v>212</v>
      </c>
      <c r="I36" s="5">
        <f t="shared" si="5"/>
        <v>116.93772832091454</v>
      </c>
      <c r="J36" s="5">
        <f t="shared" si="2"/>
        <v>83.062271679085455</v>
      </c>
    </row>
    <row r="37" spans="1:16" x14ac:dyDescent="0.25">
      <c r="A37" s="47">
        <v>0.9621960000000005</v>
      </c>
      <c r="C37" s="38" t="s">
        <v>210</v>
      </c>
      <c r="D37" s="5">
        <v>150</v>
      </c>
      <c r="E37" s="5">
        <v>50</v>
      </c>
      <c r="F37" s="5">
        <f>200-D37-E37</f>
        <v>0</v>
      </c>
      <c r="G37" s="4"/>
      <c r="H37" s="38" t="s">
        <v>213</v>
      </c>
      <c r="I37" s="5">
        <f t="shared" si="5"/>
        <v>50.73320387234368</v>
      </c>
      <c r="J37" s="5">
        <f t="shared" si="2"/>
        <v>149.26679612765633</v>
      </c>
    </row>
    <row r="38" spans="1:16" x14ac:dyDescent="0.25">
      <c r="A38" s="47">
        <v>1.3570350000000002</v>
      </c>
      <c r="C38" s="38" t="s">
        <v>211</v>
      </c>
      <c r="D38" s="5">
        <f t="shared" ref="D38:D41" si="6">200/A38</f>
        <v>147.38013389485161</v>
      </c>
      <c r="E38" s="5">
        <v>50</v>
      </c>
      <c r="F38" s="5">
        <f t="shared" ref="F38:F59" si="7">200-D38-E38</f>
        <v>2.6198661051483896</v>
      </c>
      <c r="G38" s="4"/>
      <c r="H38" s="74" t="s">
        <v>214</v>
      </c>
      <c r="I38" s="76">
        <f t="shared" si="5"/>
        <v>126.13314867440367</v>
      </c>
      <c r="J38" s="76">
        <f t="shared" si="2"/>
        <v>73.866851325596329</v>
      </c>
    </row>
    <row r="39" spans="1:16" x14ac:dyDescent="0.25">
      <c r="A39" s="47">
        <v>1.7103120000000001</v>
      </c>
      <c r="C39" s="38" t="s">
        <v>212</v>
      </c>
      <c r="D39" s="5">
        <f t="shared" si="6"/>
        <v>116.93772832091454</v>
      </c>
      <c r="E39" s="5">
        <v>50</v>
      </c>
      <c r="F39" s="5">
        <f t="shared" si="7"/>
        <v>33.062271679085455</v>
      </c>
      <c r="G39" s="4"/>
      <c r="H39" s="77" t="s">
        <v>215</v>
      </c>
      <c r="I39" s="5">
        <f t="shared" si="5"/>
        <v>74.547233649070691</v>
      </c>
      <c r="J39" s="5">
        <f t="shared" si="2"/>
        <v>125.45276635092931</v>
      </c>
    </row>
    <row r="40" spans="1:16" x14ac:dyDescent="0.25">
      <c r="A40" s="47">
        <v>3.9421914000000009</v>
      </c>
      <c r="C40" s="38" t="s">
        <v>213</v>
      </c>
      <c r="D40" s="5">
        <f t="shared" si="6"/>
        <v>50.73320387234368</v>
      </c>
      <c r="E40" s="5">
        <v>50</v>
      </c>
      <c r="F40" s="5">
        <f t="shared" si="7"/>
        <v>99.266796127656335</v>
      </c>
      <c r="G40" s="4"/>
      <c r="H40" s="38" t="s">
        <v>216</v>
      </c>
      <c r="I40" s="5">
        <f t="shared" si="5"/>
        <v>98.707757521629816</v>
      </c>
      <c r="J40" s="5">
        <f t="shared" si="2"/>
        <v>101.29224247837018</v>
      </c>
    </row>
    <row r="41" spans="1:16" x14ac:dyDescent="0.25">
      <c r="A41" s="75">
        <v>1.585626</v>
      </c>
      <c r="B41" s="74"/>
      <c r="C41" s="74" t="s">
        <v>214</v>
      </c>
      <c r="D41" s="76">
        <f t="shared" si="6"/>
        <v>126.13314867440367</v>
      </c>
      <c r="E41" s="76">
        <v>50</v>
      </c>
      <c r="F41" s="76">
        <f t="shared" si="7"/>
        <v>23.866851325596329</v>
      </c>
      <c r="G41" s="4"/>
      <c r="H41" s="38" t="s">
        <v>217</v>
      </c>
      <c r="I41" s="5">
        <f t="shared" si="5"/>
        <v>99.524353211133359</v>
      </c>
      <c r="J41" s="5">
        <f t="shared" si="2"/>
        <v>100.47564678886664</v>
      </c>
    </row>
    <row r="42" spans="1:16" x14ac:dyDescent="0.25">
      <c r="A42" s="78">
        <v>2.6828628000000001</v>
      </c>
      <c r="B42" s="77"/>
      <c r="C42" s="77" t="s">
        <v>215</v>
      </c>
      <c r="D42" s="79">
        <f>200/A42</f>
        <v>74.547233649070691</v>
      </c>
      <c r="E42" s="79">
        <v>50</v>
      </c>
      <c r="F42" s="5">
        <f t="shared" si="7"/>
        <v>75.452766350929309</v>
      </c>
      <c r="G42" s="4"/>
      <c r="H42" s="38" t="s">
        <v>218</v>
      </c>
      <c r="I42" s="5">
        <f t="shared" si="5"/>
        <v>84.49544138644174</v>
      </c>
      <c r="J42" s="5">
        <f t="shared" si="2"/>
        <v>115.50455861355826</v>
      </c>
    </row>
    <row r="43" spans="1:16" x14ac:dyDescent="0.25">
      <c r="A43" s="47">
        <v>2.0261832000000002</v>
      </c>
      <c r="C43" s="38" t="s">
        <v>216</v>
      </c>
      <c r="D43" s="5">
        <f t="shared" ref="D43:D47" si="8">200/A43</f>
        <v>98.707757521629816</v>
      </c>
      <c r="E43" s="5">
        <v>50</v>
      </c>
      <c r="F43" s="5">
        <f t="shared" si="7"/>
        <v>51.292242478370184</v>
      </c>
      <c r="G43" s="4"/>
      <c r="H43" s="38" t="s">
        <v>219</v>
      </c>
      <c r="I43" s="5">
        <f t="shared" si="5"/>
        <v>144.72071145859516</v>
      </c>
      <c r="J43" s="5">
        <f t="shared" si="2"/>
        <v>55.279288541404838</v>
      </c>
    </row>
    <row r="44" spans="1:16" x14ac:dyDescent="0.25">
      <c r="A44" s="47">
        <v>2.0095584</v>
      </c>
      <c r="C44" s="38" t="s">
        <v>217</v>
      </c>
      <c r="D44" s="5">
        <f t="shared" si="8"/>
        <v>99.524353211133359</v>
      </c>
      <c r="E44" s="5">
        <v>50</v>
      </c>
      <c r="F44" s="5">
        <f t="shared" si="7"/>
        <v>50.475646788866641</v>
      </c>
      <c r="G44" s="4"/>
      <c r="H44" s="74" t="s">
        <v>220</v>
      </c>
      <c r="I44" s="76">
        <f t="shared" si="5"/>
        <v>121.05620082545802</v>
      </c>
      <c r="J44" s="76">
        <f t="shared" si="2"/>
        <v>78.943799174541979</v>
      </c>
    </row>
    <row r="45" spans="1:16" x14ac:dyDescent="0.25">
      <c r="A45" s="47">
        <v>2.3669916000000004</v>
      </c>
      <c r="C45" s="38" t="s">
        <v>218</v>
      </c>
      <c r="D45" s="5">
        <f t="shared" si="8"/>
        <v>84.49544138644174</v>
      </c>
      <c r="E45" s="5">
        <v>50</v>
      </c>
      <c r="F45" s="5">
        <f t="shared" si="7"/>
        <v>65.50455861355826</v>
      </c>
      <c r="G45" s="4"/>
      <c r="H45" s="77" t="s">
        <v>225</v>
      </c>
      <c r="I45" s="5">
        <f t="shared" si="5"/>
        <v>144.502447726962</v>
      </c>
      <c r="J45" s="5">
        <f t="shared" si="2"/>
        <v>55.497552273037996</v>
      </c>
    </row>
    <row r="46" spans="1:16" x14ac:dyDescent="0.25">
      <c r="A46" s="47">
        <v>1.3819722000000003</v>
      </c>
      <c r="C46" s="38" t="s">
        <v>219</v>
      </c>
      <c r="D46" s="5">
        <f t="shared" si="8"/>
        <v>144.72071145859516</v>
      </c>
      <c r="E46" s="5">
        <v>50</v>
      </c>
      <c r="F46" s="5">
        <f t="shared" si="7"/>
        <v>5.2792885414048385</v>
      </c>
      <c r="G46" s="4"/>
      <c r="H46" s="38" t="s">
        <v>226</v>
      </c>
      <c r="I46" s="5">
        <f t="shared" si="5"/>
        <v>178.0044842889682</v>
      </c>
      <c r="J46" s="5">
        <f t="shared" si="2"/>
        <v>21.9955157110318</v>
      </c>
    </row>
    <row r="47" spans="1:16" x14ac:dyDescent="0.25">
      <c r="A47" s="75">
        <v>1.6521252</v>
      </c>
      <c r="B47" s="74"/>
      <c r="C47" s="74" t="s">
        <v>220</v>
      </c>
      <c r="D47" s="76">
        <f t="shared" si="8"/>
        <v>121.05620082545802</v>
      </c>
      <c r="E47" s="76">
        <v>50</v>
      </c>
      <c r="F47" s="76">
        <f t="shared" si="7"/>
        <v>28.943799174541979</v>
      </c>
      <c r="G47" s="4"/>
      <c r="H47" s="38" t="s">
        <v>227</v>
      </c>
      <c r="I47" s="5">
        <f t="shared" si="5"/>
        <v>91.655836002045746</v>
      </c>
      <c r="J47" s="5">
        <f t="shared" si="2"/>
        <v>108.34416399795425</v>
      </c>
    </row>
    <row r="48" spans="1:16" x14ac:dyDescent="0.25">
      <c r="A48" s="78">
        <v>1.3840596000000005</v>
      </c>
      <c r="B48" s="77"/>
      <c r="C48" s="77" t="s">
        <v>225</v>
      </c>
      <c r="D48" s="79">
        <f>200/A48</f>
        <v>144.502447726962</v>
      </c>
      <c r="E48" s="79">
        <v>50</v>
      </c>
      <c r="F48" s="5">
        <f t="shared" si="7"/>
        <v>5.4975522730379964</v>
      </c>
      <c r="G48" s="4"/>
      <c r="H48" s="38" t="s">
        <v>228</v>
      </c>
      <c r="I48" s="5">
        <f t="shared" si="5"/>
        <v>87.194768174397908</v>
      </c>
      <c r="J48" s="5">
        <f t="shared" si="2"/>
        <v>112.80523182560209</v>
      </c>
    </row>
    <row r="49" spans="1:10" x14ac:dyDescent="0.25">
      <c r="A49" s="47">
        <v>1.1235672000000001</v>
      </c>
      <c r="C49" s="38" t="s">
        <v>226</v>
      </c>
      <c r="D49" s="5">
        <v>150</v>
      </c>
      <c r="E49" s="5">
        <v>50</v>
      </c>
      <c r="F49" s="5">
        <f t="shared" si="7"/>
        <v>0</v>
      </c>
      <c r="G49" s="4"/>
      <c r="H49" s="38" t="s">
        <v>229</v>
      </c>
      <c r="I49" s="5">
        <f t="shared" si="5"/>
        <v>76.085133786577529</v>
      </c>
      <c r="J49" s="5">
        <f t="shared" si="2"/>
        <v>123.91486621342247</v>
      </c>
    </row>
    <row r="50" spans="1:10" x14ac:dyDescent="0.25">
      <c r="A50" s="47">
        <v>2.1820760000000003</v>
      </c>
      <c r="C50" s="38" t="s">
        <v>227</v>
      </c>
      <c r="D50" s="5">
        <f t="shared" ref="D50:D58" si="9">200/A50</f>
        <v>91.655836002045746</v>
      </c>
      <c r="E50" s="5">
        <v>50</v>
      </c>
      <c r="F50" s="5">
        <f t="shared" si="7"/>
        <v>58.344163997954254</v>
      </c>
      <c r="G50" s="4"/>
      <c r="H50" s="74" t="s">
        <v>230</v>
      </c>
      <c r="I50" s="76">
        <f t="shared" si="5"/>
        <v>92.355853754136135</v>
      </c>
      <c r="J50" s="76">
        <f t="shared" si="2"/>
        <v>107.64414624586387</v>
      </c>
    </row>
    <row r="51" spans="1:10" x14ac:dyDescent="0.25">
      <c r="A51" s="47">
        <v>2.2937156000000001</v>
      </c>
      <c r="C51" s="38" t="s">
        <v>228</v>
      </c>
      <c r="D51" s="5">
        <f t="shared" si="9"/>
        <v>87.194768174397908</v>
      </c>
      <c r="E51" s="5">
        <v>50</v>
      </c>
      <c r="F51" s="5">
        <f t="shared" si="7"/>
        <v>62.805231825602092</v>
      </c>
      <c r="G51" s="4"/>
      <c r="H51" s="38" t="s">
        <v>231</v>
      </c>
      <c r="I51" s="5">
        <f t="shared" si="5"/>
        <v>97.967526508053325</v>
      </c>
      <c r="J51" s="5">
        <f t="shared" si="2"/>
        <v>102.03247349194667</v>
      </c>
    </row>
    <row r="52" spans="1:10" x14ac:dyDescent="0.25">
      <c r="A52" s="47">
        <v>2.6286344000000006</v>
      </c>
      <c r="C52" s="38" t="s">
        <v>229</v>
      </c>
      <c r="D52" s="5">
        <f t="shared" si="9"/>
        <v>76.085133786577529</v>
      </c>
      <c r="E52" s="5">
        <v>50</v>
      </c>
      <c r="F52" s="5">
        <f t="shared" si="7"/>
        <v>73.914866213422471</v>
      </c>
      <c r="G52" s="4"/>
      <c r="H52" s="38" t="s">
        <v>232</v>
      </c>
      <c r="I52" s="5">
        <f t="shared" si="5"/>
        <v>142.79606693936904</v>
      </c>
      <c r="J52" s="5">
        <f t="shared" si="2"/>
        <v>57.203933060630959</v>
      </c>
    </row>
    <row r="53" spans="1:10" x14ac:dyDescent="0.25">
      <c r="A53" s="75">
        <v>2.1655368000000004</v>
      </c>
      <c r="B53" s="74"/>
      <c r="C53" s="74" t="s">
        <v>230</v>
      </c>
      <c r="D53" s="76">
        <f t="shared" si="9"/>
        <v>92.355853754136135</v>
      </c>
      <c r="E53" s="76">
        <v>50</v>
      </c>
      <c r="F53" s="76">
        <f t="shared" si="7"/>
        <v>57.644146245863865</v>
      </c>
      <c r="G53" s="4"/>
      <c r="H53" s="38" t="s">
        <v>233</v>
      </c>
      <c r="I53" s="5">
        <f t="shared" si="5"/>
        <v>66.375261568312013</v>
      </c>
      <c r="J53" s="5">
        <f t="shared" si="2"/>
        <v>133.624738431688</v>
      </c>
    </row>
    <row r="54" spans="1:10" x14ac:dyDescent="0.25">
      <c r="A54" s="47">
        <v>2.0414927999999999</v>
      </c>
      <c r="C54" s="38" t="s">
        <v>231</v>
      </c>
      <c r="D54" s="5">
        <f t="shared" si="9"/>
        <v>97.967526508053325</v>
      </c>
      <c r="E54" s="5">
        <v>50</v>
      </c>
      <c r="F54" s="5">
        <f t="shared" si="7"/>
        <v>52.032473491946675</v>
      </c>
      <c r="G54" s="4"/>
      <c r="H54" s="38" t="s">
        <v>234</v>
      </c>
      <c r="I54" s="5">
        <f t="shared" si="5"/>
        <v>81.742648638380004</v>
      </c>
      <c r="J54" s="5">
        <f t="shared" si="2"/>
        <v>118.25735136162</v>
      </c>
    </row>
    <row r="55" spans="1:10" x14ac:dyDescent="0.25">
      <c r="A55" s="47">
        <v>1.4005988000000005</v>
      </c>
      <c r="C55" s="38" t="s">
        <v>232</v>
      </c>
      <c r="D55" s="5">
        <f t="shared" si="9"/>
        <v>142.79606693936904</v>
      </c>
      <c r="E55" s="5">
        <v>50</v>
      </c>
      <c r="F55" s="5">
        <f t="shared" si="7"/>
        <v>7.2039330606309591</v>
      </c>
      <c r="G55" s="4"/>
      <c r="H55" s="38" t="s">
        <v>235</v>
      </c>
      <c r="I55" s="5">
        <f t="shared" si="5"/>
        <v>95.2662214558584</v>
      </c>
      <c r="J55" s="5">
        <f t="shared" si="2"/>
        <v>104.7337785441416</v>
      </c>
    </row>
    <row r="56" spans="1:10" x14ac:dyDescent="0.25">
      <c r="A56" s="47">
        <v>3.0131708000000006</v>
      </c>
      <c r="C56" s="38" t="s">
        <v>233</v>
      </c>
      <c r="D56" s="5">
        <f t="shared" si="9"/>
        <v>66.375261568312013</v>
      </c>
      <c r="E56" s="5">
        <v>50</v>
      </c>
      <c r="F56" s="5">
        <f t="shared" si="7"/>
        <v>83.624738431688002</v>
      </c>
      <c r="G56" s="4"/>
      <c r="H56" s="38" t="s">
        <v>236</v>
      </c>
      <c r="I56" s="5">
        <f t="shared" si="5"/>
        <v>184.8054442205424</v>
      </c>
      <c r="J56" s="5">
        <f t="shared" si="2"/>
        <v>15.194555779457602</v>
      </c>
    </row>
    <row r="57" spans="1:10" x14ac:dyDescent="0.25">
      <c r="A57" s="47">
        <v>2.4467032</v>
      </c>
      <c r="C57" s="38" t="s">
        <v>234</v>
      </c>
      <c r="D57" s="5">
        <f t="shared" si="9"/>
        <v>81.742648638380004</v>
      </c>
      <c r="E57" s="5">
        <v>50</v>
      </c>
      <c r="F57" s="5">
        <f t="shared" si="7"/>
        <v>68.257351361619996</v>
      </c>
      <c r="G57" s="4"/>
      <c r="H57" s="4"/>
      <c r="I57" s="4"/>
      <c r="J57" s="4"/>
    </row>
    <row r="58" spans="1:10" x14ac:dyDescent="0.25">
      <c r="A58" s="47">
        <v>2.09938</v>
      </c>
      <c r="C58" s="38" t="s">
        <v>235</v>
      </c>
      <c r="D58" s="5">
        <f t="shared" si="9"/>
        <v>95.2662214558584</v>
      </c>
      <c r="E58" s="5">
        <v>50</v>
      </c>
      <c r="F58" s="5">
        <f t="shared" si="7"/>
        <v>54.7337785441416</v>
      </c>
      <c r="G58" s="4"/>
      <c r="H58" s="4"/>
      <c r="I58" s="4"/>
      <c r="J58" s="4"/>
    </row>
    <row r="59" spans="1:10" x14ac:dyDescent="0.25">
      <c r="A59" s="47">
        <v>1.0822191999999999</v>
      </c>
      <c r="C59" s="38" t="s">
        <v>236</v>
      </c>
      <c r="D59" s="5">
        <v>150</v>
      </c>
      <c r="E59" s="5">
        <v>50</v>
      </c>
      <c r="F59" s="5">
        <f t="shared" si="7"/>
        <v>0</v>
      </c>
    </row>
    <row r="60" spans="1:10" x14ac:dyDescent="0.25">
      <c r="D60" s="5"/>
      <c r="E60" s="5"/>
      <c r="F60" s="5"/>
    </row>
    <row r="61" spans="1:10" x14ac:dyDescent="0.25">
      <c r="D61" s="5"/>
      <c r="E61" s="5"/>
      <c r="F61" s="5"/>
    </row>
    <row r="62" spans="1:10" x14ac:dyDescent="0.25">
      <c r="D62" s="5"/>
      <c r="E62" s="5"/>
      <c r="F62" s="5"/>
    </row>
    <row r="63" spans="1:10" x14ac:dyDescent="0.25">
      <c r="D63" s="5"/>
      <c r="E63" s="5"/>
      <c r="F63" s="5"/>
    </row>
    <row r="64" spans="1:10" x14ac:dyDescent="0.25">
      <c r="D64" s="5"/>
      <c r="E64" s="5"/>
      <c r="F64" s="5"/>
    </row>
    <row r="65" spans="4:6" x14ac:dyDescent="0.25">
      <c r="D65" s="5"/>
      <c r="E65" s="5"/>
      <c r="F65"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198D-C759-466F-A38D-C6EA272EB8C5}">
  <dimension ref="A1:O69"/>
  <sheetViews>
    <sheetView zoomScale="60" zoomScaleNormal="60" workbookViewId="0">
      <selection activeCell="D1" sqref="D1:G42"/>
    </sheetView>
  </sheetViews>
  <sheetFormatPr defaultRowHeight="15" x14ac:dyDescent="0.25"/>
  <cols>
    <col min="1" max="1" width="15.5703125" customWidth="1"/>
    <col min="2" max="2" width="14" customWidth="1"/>
    <col min="3" max="3" width="12.5703125" customWidth="1"/>
    <col min="4" max="4" width="28.5703125" bestFit="1" customWidth="1"/>
    <col min="5" max="5" width="22.85546875" bestFit="1" customWidth="1"/>
    <col min="6" max="6" width="23.42578125" bestFit="1" customWidth="1"/>
    <col min="7" max="7" width="25.28515625" bestFit="1" customWidth="1"/>
    <col min="8" max="8" width="28.5703125" bestFit="1" customWidth="1"/>
    <col min="9" max="9" width="22.85546875" bestFit="1" customWidth="1"/>
    <col min="10" max="10" width="23.42578125" bestFit="1" customWidth="1"/>
    <col min="11" max="11" width="25.28515625" bestFit="1" customWidth="1"/>
    <col min="12" max="15" width="25.28515625" customWidth="1"/>
  </cols>
  <sheetData>
    <row r="1" spans="1:15" x14ac:dyDescent="0.25">
      <c r="A1" s="4" t="s">
        <v>43</v>
      </c>
      <c r="B1" s="4"/>
      <c r="C1" s="4"/>
      <c r="D1" t="s">
        <v>342</v>
      </c>
      <c r="H1" t="s">
        <v>347</v>
      </c>
    </row>
    <row r="2" spans="1:15" x14ac:dyDescent="0.25">
      <c r="A2" s="3" t="s">
        <v>0</v>
      </c>
      <c r="B2" s="3" t="s">
        <v>1</v>
      </c>
      <c r="C2" s="3" t="s">
        <v>2</v>
      </c>
      <c r="D2" s="3" t="s">
        <v>343</v>
      </c>
      <c r="E2" s="3" t="s">
        <v>344</v>
      </c>
      <c r="F2" s="3" t="s">
        <v>345</v>
      </c>
      <c r="G2" s="3" t="s">
        <v>346</v>
      </c>
      <c r="H2" s="3" t="s">
        <v>343</v>
      </c>
      <c r="I2" s="3" t="s">
        <v>344</v>
      </c>
      <c r="J2" s="3" t="s">
        <v>345</v>
      </c>
      <c r="K2" s="3" t="s">
        <v>346</v>
      </c>
      <c r="L2" s="3" t="s">
        <v>358</v>
      </c>
      <c r="M2" s="3" t="s">
        <v>359</v>
      </c>
      <c r="N2" s="3" t="s">
        <v>348</v>
      </c>
      <c r="O2" s="3" t="s">
        <v>349</v>
      </c>
    </row>
    <row r="3" spans="1:15" x14ac:dyDescent="0.25">
      <c r="A3" s="4" t="s">
        <v>10</v>
      </c>
      <c r="B3" s="4">
        <v>59</v>
      </c>
      <c r="C3" s="4" t="s">
        <v>6</v>
      </c>
      <c r="D3" s="154">
        <v>5145</v>
      </c>
      <c r="E3" s="42">
        <v>2774</v>
      </c>
      <c r="F3" s="154">
        <v>3078</v>
      </c>
      <c r="G3" s="42">
        <v>2591</v>
      </c>
      <c r="H3" s="42">
        <v>61</v>
      </c>
      <c r="I3" s="42">
        <v>122</v>
      </c>
      <c r="J3" s="42">
        <v>107</v>
      </c>
      <c r="K3" s="42">
        <v>270</v>
      </c>
      <c r="L3" s="42">
        <f>SUM(H3,J3)</f>
        <v>168</v>
      </c>
      <c r="M3" s="42">
        <f>SUM(I3,K3)</f>
        <v>392</v>
      </c>
      <c r="N3" s="42">
        <f>J3*100/SUM(H3,J3)</f>
        <v>63.69047619047619</v>
      </c>
      <c r="O3" s="42">
        <f>K3*100/SUM(I3,K3)</f>
        <v>68.877551020408163</v>
      </c>
    </row>
    <row r="4" spans="1:15" x14ac:dyDescent="0.25">
      <c r="A4" s="4" t="s">
        <v>18</v>
      </c>
      <c r="B4" s="4">
        <v>48</v>
      </c>
      <c r="C4" s="4" t="s">
        <v>6</v>
      </c>
      <c r="D4" s="42">
        <v>3555</v>
      </c>
      <c r="E4" s="42">
        <v>3725</v>
      </c>
      <c r="F4" s="42">
        <v>2364</v>
      </c>
      <c r="G4" s="42">
        <v>3540</v>
      </c>
      <c r="H4" s="42">
        <v>156</v>
      </c>
      <c r="I4" s="42">
        <v>384</v>
      </c>
      <c r="J4" s="42">
        <v>129</v>
      </c>
      <c r="K4" s="42">
        <v>247</v>
      </c>
      <c r="L4" s="42">
        <f>SUM(H4,J4)</f>
        <v>285</v>
      </c>
      <c r="M4" s="42">
        <f>SUM(I4,K4)</f>
        <v>631</v>
      </c>
      <c r="N4" s="42">
        <f t="shared" ref="N4:N17" si="0">J4*100/SUM(H4,J4)</f>
        <v>45.263157894736842</v>
      </c>
      <c r="O4" s="42">
        <f t="shared" ref="O4:O17" si="1">K4*100/SUM(I4,K4)</f>
        <v>39.144215530903331</v>
      </c>
    </row>
    <row r="5" spans="1:15" x14ac:dyDescent="0.25">
      <c r="A5" s="21" t="s">
        <v>20</v>
      </c>
      <c r="B5" s="21">
        <v>44</v>
      </c>
      <c r="C5" s="21" t="s">
        <v>6</v>
      </c>
      <c r="D5" s="153"/>
      <c r="E5" s="153"/>
      <c r="F5" s="153"/>
      <c r="G5" s="153"/>
      <c r="H5" s="153"/>
      <c r="I5" s="153"/>
      <c r="J5" s="153"/>
      <c r="K5" s="153"/>
      <c r="L5" s="153"/>
      <c r="M5" s="153"/>
      <c r="N5" s="153"/>
      <c r="O5" s="153"/>
    </row>
    <row r="6" spans="1:15" x14ac:dyDescent="0.25">
      <c r="A6" s="4" t="s">
        <v>21</v>
      </c>
      <c r="B6" s="4">
        <v>63</v>
      </c>
      <c r="C6" s="4" t="s">
        <v>6</v>
      </c>
      <c r="D6" s="42">
        <v>3213</v>
      </c>
      <c r="E6" s="42">
        <v>2883</v>
      </c>
      <c r="F6" s="42">
        <v>2555</v>
      </c>
      <c r="G6" s="42">
        <v>2720</v>
      </c>
      <c r="H6" s="42">
        <v>251</v>
      </c>
      <c r="I6" s="42">
        <v>413</v>
      </c>
      <c r="J6" s="42">
        <v>366</v>
      </c>
      <c r="K6" s="42">
        <v>368</v>
      </c>
      <c r="L6" s="42">
        <f>SUM(H6,J6)</f>
        <v>617</v>
      </c>
      <c r="M6" s="42">
        <f>SUM(I6,K6)</f>
        <v>781</v>
      </c>
      <c r="N6" s="42">
        <f t="shared" si="0"/>
        <v>59.319286871961104</v>
      </c>
      <c r="O6" s="42">
        <f t="shared" si="1"/>
        <v>47.119078104993598</v>
      </c>
    </row>
    <row r="7" spans="1:15" x14ac:dyDescent="0.25">
      <c r="A7" s="4" t="s">
        <v>24</v>
      </c>
      <c r="B7" s="4">
        <v>54</v>
      </c>
      <c r="C7" s="4" t="s">
        <v>6</v>
      </c>
      <c r="D7" s="42">
        <v>5771</v>
      </c>
      <c r="E7" s="42">
        <v>4632</v>
      </c>
      <c r="F7" s="42">
        <v>3454</v>
      </c>
      <c r="G7" s="42">
        <v>3801</v>
      </c>
      <c r="H7" s="42">
        <v>83</v>
      </c>
      <c r="I7" s="42">
        <v>205</v>
      </c>
      <c r="J7" s="42">
        <v>152</v>
      </c>
      <c r="K7" s="42">
        <v>255</v>
      </c>
      <c r="L7" s="42">
        <f t="shared" ref="L7:L17" si="2">SUM(H7,J7)</f>
        <v>235</v>
      </c>
      <c r="M7" s="42">
        <f t="shared" ref="M7:M17" si="3">SUM(I7,K7)</f>
        <v>460</v>
      </c>
      <c r="N7" s="42">
        <f t="shared" si="0"/>
        <v>64.680851063829792</v>
      </c>
      <c r="O7" s="42">
        <f t="shared" si="1"/>
        <v>55.434782608695649</v>
      </c>
    </row>
    <row r="8" spans="1:15" x14ac:dyDescent="0.25">
      <c r="A8" s="4" t="s">
        <v>25</v>
      </c>
      <c r="B8" s="4">
        <v>52</v>
      </c>
      <c r="C8" s="4" t="s">
        <v>6</v>
      </c>
      <c r="D8" s="42">
        <v>4797</v>
      </c>
      <c r="E8" s="42">
        <v>4183</v>
      </c>
      <c r="F8" s="42">
        <v>2804</v>
      </c>
      <c r="G8" s="42">
        <v>2992</v>
      </c>
      <c r="H8" s="42">
        <v>156</v>
      </c>
      <c r="I8" s="42">
        <v>192</v>
      </c>
      <c r="J8" s="42">
        <v>101</v>
      </c>
      <c r="K8" s="42">
        <v>231</v>
      </c>
      <c r="L8" s="42">
        <f t="shared" si="2"/>
        <v>257</v>
      </c>
      <c r="M8" s="42">
        <f t="shared" si="3"/>
        <v>423</v>
      </c>
      <c r="N8" s="42">
        <f t="shared" si="0"/>
        <v>39.299610894941637</v>
      </c>
      <c r="O8" s="42">
        <f t="shared" si="1"/>
        <v>54.609929078014183</v>
      </c>
    </row>
    <row r="9" spans="1:15" x14ac:dyDescent="0.25">
      <c r="A9" s="4" t="s">
        <v>31</v>
      </c>
      <c r="B9" s="4">
        <v>57</v>
      </c>
      <c r="C9" s="4" t="s">
        <v>6</v>
      </c>
      <c r="D9" s="42">
        <v>3045</v>
      </c>
      <c r="E9" s="42">
        <v>2036</v>
      </c>
      <c r="F9" s="42">
        <v>3212</v>
      </c>
      <c r="G9" s="42">
        <v>2469</v>
      </c>
      <c r="H9" s="42">
        <v>189</v>
      </c>
      <c r="I9" s="42">
        <v>218</v>
      </c>
      <c r="J9" s="42">
        <v>394</v>
      </c>
      <c r="K9" s="42">
        <v>247</v>
      </c>
      <c r="L9" s="42">
        <f t="shared" si="2"/>
        <v>583</v>
      </c>
      <c r="M9" s="42">
        <f t="shared" si="3"/>
        <v>465</v>
      </c>
      <c r="N9" s="42">
        <f t="shared" si="0"/>
        <v>67.581475128644939</v>
      </c>
      <c r="O9" s="42">
        <f t="shared" si="1"/>
        <v>53.118279569892472</v>
      </c>
    </row>
    <row r="10" spans="1:15" x14ac:dyDescent="0.25">
      <c r="A10" s="4" t="s">
        <v>32</v>
      </c>
      <c r="B10" s="4">
        <v>61</v>
      </c>
      <c r="C10" s="4" t="s">
        <v>6</v>
      </c>
      <c r="D10" s="42"/>
      <c r="E10" s="42"/>
      <c r="F10" s="42"/>
      <c r="G10" s="42"/>
      <c r="H10" s="42"/>
      <c r="I10" s="42"/>
      <c r="J10" s="42"/>
      <c r="K10" s="42"/>
      <c r="L10" s="42"/>
      <c r="M10" s="42"/>
      <c r="N10" s="42"/>
      <c r="O10" s="42"/>
    </row>
    <row r="11" spans="1:15" x14ac:dyDescent="0.25">
      <c r="A11" s="4" t="s">
        <v>7</v>
      </c>
      <c r="B11" s="4">
        <v>42</v>
      </c>
      <c r="C11" s="4" t="s">
        <v>4</v>
      </c>
      <c r="D11" s="42">
        <v>6520</v>
      </c>
      <c r="E11" s="42">
        <v>4805</v>
      </c>
      <c r="F11" s="42">
        <v>6960</v>
      </c>
      <c r="G11" s="42">
        <v>4539</v>
      </c>
      <c r="H11" s="42">
        <v>73</v>
      </c>
      <c r="I11" s="42">
        <v>54</v>
      </c>
      <c r="J11" s="42">
        <v>61</v>
      </c>
      <c r="K11" s="42">
        <v>86</v>
      </c>
      <c r="L11" s="42">
        <f t="shared" si="2"/>
        <v>134</v>
      </c>
      <c r="M11" s="42">
        <f t="shared" si="3"/>
        <v>140</v>
      </c>
      <c r="N11" s="42">
        <f t="shared" si="0"/>
        <v>45.522388059701491</v>
      </c>
      <c r="O11" s="42">
        <f t="shared" si="1"/>
        <v>61.428571428571431</v>
      </c>
    </row>
    <row r="12" spans="1:15" x14ac:dyDescent="0.25">
      <c r="A12" s="4" t="s">
        <v>8</v>
      </c>
      <c r="B12" s="4">
        <v>55</v>
      </c>
      <c r="C12" s="4" t="s">
        <v>4</v>
      </c>
      <c r="D12" s="42">
        <v>4378</v>
      </c>
      <c r="E12" s="42">
        <v>4655</v>
      </c>
      <c r="F12" s="42">
        <v>3990</v>
      </c>
      <c r="G12" s="42">
        <v>3521</v>
      </c>
      <c r="H12" s="42">
        <v>75</v>
      </c>
      <c r="I12" s="42">
        <v>114</v>
      </c>
      <c r="J12" s="42">
        <v>61</v>
      </c>
      <c r="K12" s="42">
        <v>123</v>
      </c>
      <c r="L12" s="42">
        <f t="shared" si="2"/>
        <v>136</v>
      </c>
      <c r="M12" s="42">
        <f t="shared" si="3"/>
        <v>237</v>
      </c>
      <c r="N12" s="42">
        <f t="shared" si="0"/>
        <v>44.852941176470587</v>
      </c>
      <c r="O12" s="42">
        <f t="shared" si="1"/>
        <v>51.898734177215189</v>
      </c>
    </row>
    <row r="13" spans="1:15" x14ac:dyDescent="0.25">
      <c r="A13" s="4" t="s">
        <v>13</v>
      </c>
      <c r="B13" s="4">
        <v>44</v>
      </c>
      <c r="C13" s="4" t="s">
        <v>4</v>
      </c>
      <c r="D13" s="44">
        <v>4977</v>
      </c>
      <c r="E13" s="44">
        <v>4872</v>
      </c>
      <c r="F13" s="44">
        <v>8253</v>
      </c>
      <c r="G13" s="44">
        <v>8160</v>
      </c>
      <c r="H13" s="44">
        <v>67</v>
      </c>
      <c r="I13" s="44">
        <v>79</v>
      </c>
      <c r="J13" s="44">
        <v>47</v>
      </c>
      <c r="K13" s="44">
        <v>58</v>
      </c>
      <c r="L13" s="42">
        <f t="shared" si="2"/>
        <v>114</v>
      </c>
      <c r="M13" s="42">
        <f t="shared" si="3"/>
        <v>137</v>
      </c>
      <c r="N13" s="42">
        <f t="shared" si="0"/>
        <v>41.228070175438596</v>
      </c>
      <c r="O13" s="42">
        <f t="shared" si="1"/>
        <v>42.335766423357661</v>
      </c>
    </row>
    <row r="14" spans="1:15" x14ac:dyDescent="0.25">
      <c r="A14" s="4" t="s">
        <v>16</v>
      </c>
      <c r="B14" s="4">
        <v>64</v>
      </c>
      <c r="C14" s="4" t="s">
        <v>4</v>
      </c>
      <c r="D14" s="42">
        <v>6547</v>
      </c>
      <c r="E14" s="42">
        <v>5296</v>
      </c>
      <c r="F14" s="42">
        <v>4244</v>
      </c>
      <c r="G14" s="42">
        <v>3652</v>
      </c>
      <c r="H14" s="42">
        <v>116</v>
      </c>
      <c r="I14" s="42">
        <v>62</v>
      </c>
      <c r="J14" s="42">
        <v>144</v>
      </c>
      <c r="K14" s="42">
        <v>106</v>
      </c>
      <c r="L14" s="42">
        <f t="shared" si="2"/>
        <v>260</v>
      </c>
      <c r="M14" s="42">
        <f t="shared" si="3"/>
        <v>168</v>
      </c>
      <c r="N14" s="42">
        <f t="shared" si="0"/>
        <v>55.384615384615387</v>
      </c>
      <c r="O14" s="42">
        <f t="shared" si="1"/>
        <v>63.095238095238095</v>
      </c>
    </row>
    <row r="15" spans="1:15" x14ac:dyDescent="0.25">
      <c r="A15" s="4" t="s">
        <v>17</v>
      </c>
      <c r="B15" s="4">
        <v>69</v>
      </c>
      <c r="C15" s="4" t="s">
        <v>4</v>
      </c>
      <c r="D15" s="42">
        <v>3853</v>
      </c>
      <c r="E15" s="42">
        <v>3965</v>
      </c>
      <c r="F15" s="42">
        <v>3164</v>
      </c>
      <c r="G15" s="42">
        <v>3196</v>
      </c>
      <c r="H15" s="42">
        <v>89</v>
      </c>
      <c r="I15" s="42">
        <v>209</v>
      </c>
      <c r="J15" s="42">
        <v>185</v>
      </c>
      <c r="K15" s="42">
        <v>226</v>
      </c>
      <c r="L15" s="42">
        <f t="shared" si="2"/>
        <v>274</v>
      </c>
      <c r="M15" s="42">
        <f t="shared" si="3"/>
        <v>435</v>
      </c>
      <c r="N15" s="42">
        <f t="shared" si="0"/>
        <v>67.518248175182478</v>
      </c>
      <c r="O15" s="42">
        <f t="shared" si="1"/>
        <v>51.954022988505749</v>
      </c>
    </row>
    <row r="16" spans="1:15" x14ac:dyDescent="0.25">
      <c r="A16" s="4" t="s">
        <v>30</v>
      </c>
      <c r="B16" s="4">
        <v>50</v>
      </c>
      <c r="C16" s="4" t="s">
        <v>4</v>
      </c>
      <c r="D16" s="42">
        <v>4784</v>
      </c>
      <c r="E16" s="42">
        <v>4800</v>
      </c>
      <c r="F16" s="42">
        <v>3893</v>
      </c>
      <c r="G16" s="42">
        <v>4879</v>
      </c>
      <c r="H16" s="42">
        <v>212</v>
      </c>
      <c r="I16" s="42">
        <v>128</v>
      </c>
      <c r="J16" s="42">
        <v>365</v>
      </c>
      <c r="K16" s="42">
        <v>259</v>
      </c>
      <c r="L16" s="42">
        <f t="shared" si="2"/>
        <v>577</v>
      </c>
      <c r="M16" s="42">
        <f t="shared" si="3"/>
        <v>387</v>
      </c>
      <c r="N16" s="42">
        <f t="shared" si="0"/>
        <v>63.258232235701904</v>
      </c>
      <c r="O16" s="42">
        <f t="shared" si="1"/>
        <v>66.925064599483207</v>
      </c>
    </row>
    <row r="17" spans="1:15" x14ac:dyDescent="0.25">
      <c r="A17" s="4" t="s">
        <v>149</v>
      </c>
      <c r="B17" s="4">
        <v>63</v>
      </c>
      <c r="C17" s="4" t="s">
        <v>4</v>
      </c>
      <c r="D17" s="42">
        <v>7122</v>
      </c>
      <c r="E17" s="42">
        <v>5243</v>
      </c>
      <c r="F17" s="42">
        <v>5944</v>
      </c>
      <c r="G17" s="42">
        <v>6162</v>
      </c>
      <c r="H17" s="42">
        <v>63</v>
      </c>
      <c r="I17" s="42">
        <v>105</v>
      </c>
      <c r="J17" s="42">
        <v>66</v>
      </c>
      <c r="K17" s="42">
        <v>153</v>
      </c>
      <c r="L17" s="42">
        <f t="shared" si="2"/>
        <v>129</v>
      </c>
      <c r="M17" s="42">
        <f t="shared" si="3"/>
        <v>258</v>
      </c>
      <c r="N17" s="42">
        <f t="shared" si="0"/>
        <v>51.162790697674417</v>
      </c>
      <c r="O17" s="42">
        <f t="shared" si="1"/>
        <v>59.302325581395351</v>
      </c>
    </row>
    <row r="18" spans="1:15" x14ac:dyDescent="0.25">
      <c r="A18" s="3" t="s">
        <v>33</v>
      </c>
      <c r="B18" s="8">
        <f>AVERAGE(B3:B17)</f>
        <v>55</v>
      </c>
      <c r="C18" s="8"/>
      <c r="D18" s="6">
        <f t="shared" ref="D18:G18" si="4">AVERAGE(D3:D17)</f>
        <v>4900.5384615384619</v>
      </c>
      <c r="E18" s="6">
        <f t="shared" si="4"/>
        <v>4143.7692307692305</v>
      </c>
      <c r="F18" s="6">
        <f t="shared" si="4"/>
        <v>4147.3076923076924</v>
      </c>
      <c r="G18" s="6">
        <f t="shared" si="4"/>
        <v>4017.0769230769229</v>
      </c>
      <c r="H18" s="6">
        <f t="shared" ref="H18:K18" si="5">AVERAGE(H3:H17)</f>
        <v>122.38461538461539</v>
      </c>
      <c r="I18" s="6">
        <f t="shared" si="5"/>
        <v>175.76923076923077</v>
      </c>
      <c r="J18" s="6">
        <f t="shared" si="5"/>
        <v>167.53846153846155</v>
      </c>
      <c r="K18" s="6">
        <f t="shared" si="5"/>
        <v>202.23076923076923</v>
      </c>
      <c r="L18" s="6">
        <f t="shared" ref="L18:M18" si="6">AVERAGE(L3:L17)</f>
        <v>289.92307692307691</v>
      </c>
      <c r="M18" s="6">
        <f t="shared" si="6"/>
        <v>378</v>
      </c>
      <c r="N18" s="6">
        <f t="shared" ref="N18:O18" si="7">AVERAGE(N3:N17)</f>
        <v>54.520164919182726</v>
      </c>
      <c r="O18" s="6">
        <f t="shared" si="7"/>
        <v>55.01873532359032</v>
      </c>
    </row>
    <row r="19" spans="1:15" x14ac:dyDescent="0.25">
      <c r="A19" s="3" t="s">
        <v>34</v>
      </c>
      <c r="B19" s="8">
        <f>STDEV(B3:B17)</f>
        <v>8.2635170651311842</v>
      </c>
      <c r="C19" s="8"/>
      <c r="D19" s="6">
        <f t="shared" ref="D19:G19" si="8">STDEV(D3:D17)</f>
        <v>1309.8238186479259</v>
      </c>
      <c r="E19" s="6">
        <f t="shared" si="8"/>
        <v>1022.7095672645094</v>
      </c>
      <c r="F19" s="6">
        <f t="shared" si="8"/>
        <v>1804.6401480911825</v>
      </c>
      <c r="G19" s="6">
        <f t="shared" si="8"/>
        <v>1614.2873278704376</v>
      </c>
      <c r="H19" s="6">
        <f t="shared" ref="H19:K19" si="9">STDEV(H3:H17)</f>
        <v>63.916010594032002</v>
      </c>
      <c r="I19" s="6">
        <f t="shared" si="9"/>
        <v>113.56947495267221</v>
      </c>
      <c r="J19" s="6">
        <f t="shared" si="9"/>
        <v>125.1270123944835</v>
      </c>
      <c r="K19" s="6">
        <f t="shared" si="9"/>
        <v>89.32819062885828</v>
      </c>
      <c r="L19" s="6">
        <f t="shared" ref="L19:M19" si="10">STDEV(L3:L17)</f>
        <v>182.63691737910926</v>
      </c>
      <c r="M19" s="6">
        <f t="shared" si="10"/>
        <v>191.34785078489907</v>
      </c>
      <c r="N19" s="6">
        <f t="shared" ref="N19:O19" si="11">STDEV(N3:N17)</f>
        <v>10.435273525056921</v>
      </c>
      <c r="O19" s="6">
        <f t="shared" si="11"/>
        <v>8.9295108699100272</v>
      </c>
    </row>
    <row r="20" spans="1:15" x14ac:dyDescent="0.25">
      <c r="A20" s="3" t="s">
        <v>160</v>
      </c>
      <c r="E20" s="23">
        <f>TTEST(D3:D17,E3:E17,2,1)</f>
        <v>8.7608004631816363E-3</v>
      </c>
      <c r="G20" s="23">
        <f>TTEST(F3:F17,G3:G17,2,1)</f>
        <v>0.60908338925927241</v>
      </c>
      <c r="I20" s="23">
        <f>TTEST(H3:H17,I3:I17,2,1)</f>
        <v>4.6308952307556647E-2</v>
      </c>
      <c r="K20" s="23">
        <f>TTEST(J3:J17,K3:K17,2,1)</f>
        <v>0.19671864270108388</v>
      </c>
      <c r="L20" s="23"/>
      <c r="M20" s="23">
        <f>TTEST(L3:L17,M3:M17,2,1)</f>
        <v>6.2070624215526879E-2</v>
      </c>
      <c r="O20" s="23">
        <f>TTEST(N3:N17,O3:O17,2,1)</f>
        <v>0.87169033270911656</v>
      </c>
    </row>
    <row r="21" spans="1:15" x14ac:dyDescent="0.25">
      <c r="B21" s="4"/>
      <c r="C21" s="4"/>
    </row>
    <row r="22" spans="1:15" x14ac:dyDescent="0.25">
      <c r="A22" s="4" t="s">
        <v>44</v>
      </c>
    </row>
    <row r="23" spans="1:15" x14ac:dyDescent="0.25">
      <c r="A23" s="3" t="s">
        <v>0</v>
      </c>
      <c r="B23" s="3" t="s">
        <v>1</v>
      </c>
      <c r="C23" s="3" t="s">
        <v>2</v>
      </c>
      <c r="D23" s="3" t="s">
        <v>343</v>
      </c>
      <c r="E23" s="3" t="s">
        <v>344</v>
      </c>
      <c r="F23" s="3" t="s">
        <v>345</v>
      </c>
      <c r="G23" s="3" t="s">
        <v>346</v>
      </c>
      <c r="H23" s="3" t="s">
        <v>343</v>
      </c>
      <c r="I23" s="3" t="s">
        <v>344</v>
      </c>
      <c r="J23" s="3" t="s">
        <v>345</v>
      </c>
      <c r="K23" s="3" t="s">
        <v>346</v>
      </c>
      <c r="L23" s="3" t="s">
        <v>358</v>
      </c>
      <c r="M23" s="3" t="s">
        <v>359</v>
      </c>
      <c r="N23" s="3" t="s">
        <v>348</v>
      </c>
      <c r="O23" s="3" t="s">
        <v>349</v>
      </c>
    </row>
    <row r="24" spans="1:15" x14ac:dyDescent="0.25">
      <c r="A24" s="4" t="s">
        <v>5</v>
      </c>
      <c r="B24" s="4">
        <v>51</v>
      </c>
      <c r="C24" s="4" t="s">
        <v>6</v>
      </c>
      <c r="D24" s="42">
        <v>6321</v>
      </c>
      <c r="E24" s="42">
        <v>6497</v>
      </c>
      <c r="F24" s="42">
        <v>5490</v>
      </c>
      <c r="G24" s="42">
        <v>4779</v>
      </c>
      <c r="H24" s="42">
        <v>103</v>
      </c>
      <c r="I24" s="42">
        <v>202</v>
      </c>
      <c r="J24" s="42">
        <v>91</v>
      </c>
      <c r="K24" s="42">
        <v>156</v>
      </c>
      <c r="L24" s="42">
        <f>SUM(H24,J24)</f>
        <v>194</v>
      </c>
      <c r="M24" s="42">
        <f>SUM(I24,K24)</f>
        <v>358</v>
      </c>
      <c r="N24" s="42">
        <f>J24*100/SUM(H24,J24)</f>
        <v>46.907216494845358</v>
      </c>
      <c r="O24" s="42">
        <f>K24*100/SUM(I24,K24)</f>
        <v>43.575418994413411</v>
      </c>
    </row>
    <row r="25" spans="1:15" x14ac:dyDescent="0.25">
      <c r="A25" s="4" t="s">
        <v>14</v>
      </c>
      <c r="B25" s="4">
        <v>55</v>
      </c>
      <c r="C25" s="4" t="s">
        <v>6</v>
      </c>
      <c r="D25" s="42">
        <v>4747</v>
      </c>
      <c r="E25" s="42">
        <v>3797</v>
      </c>
      <c r="F25" s="42">
        <v>2582</v>
      </c>
      <c r="G25" s="42">
        <v>2333</v>
      </c>
      <c r="H25" s="42">
        <v>187</v>
      </c>
      <c r="I25" s="42">
        <v>212</v>
      </c>
      <c r="J25" s="42">
        <v>78</v>
      </c>
      <c r="K25" s="42">
        <v>53</v>
      </c>
      <c r="L25" s="42">
        <f>SUM(H25,J25)</f>
        <v>265</v>
      </c>
      <c r="M25" s="42">
        <f>SUM(I25,K25)</f>
        <v>265</v>
      </c>
      <c r="N25" s="42">
        <f t="shared" ref="N25:N38" si="12">J25*100/SUM(H25,J25)</f>
        <v>29.433962264150942</v>
      </c>
      <c r="O25" s="42">
        <f t="shared" ref="O25:O38" si="13">K25*100/SUM(I25,K25)</f>
        <v>20</v>
      </c>
    </row>
    <row r="26" spans="1:15" x14ac:dyDescent="0.25">
      <c r="A26" s="4" t="s">
        <v>19</v>
      </c>
      <c r="B26" s="4">
        <v>53</v>
      </c>
      <c r="C26" s="4" t="s">
        <v>6</v>
      </c>
      <c r="D26" s="42">
        <v>2360</v>
      </c>
      <c r="E26" s="42">
        <v>2267</v>
      </c>
      <c r="F26" s="42">
        <v>2070</v>
      </c>
      <c r="G26" s="42">
        <v>2367</v>
      </c>
      <c r="H26" s="42">
        <v>173</v>
      </c>
      <c r="I26" s="42">
        <v>532</v>
      </c>
      <c r="J26" s="42">
        <v>67</v>
      </c>
      <c r="K26" s="42">
        <v>295</v>
      </c>
      <c r="L26" s="42">
        <f t="shared" ref="L26:L38" si="14">SUM(H26,J26)</f>
        <v>240</v>
      </c>
      <c r="M26" s="42">
        <f t="shared" ref="M26:M38" si="15">SUM(I26,K26)</f>
        <v>827</v>
      </c>
      <c r="N26" s="42">
        <f t="shared" si="12"/>
        <v>27.916666666666668</v>
      </c>
      <c r="O26" s="42">
        <f t="shared" si="13"/>
        <v>35.671100362756953</v>
      </c>
    </row>
    <row r="27" spans="1:15" x14ac:dyDescent="0.25">
      <c r="A27" s="4" t="s">
        <v>22</v>
      </c>
      <c r="B27" s="4">
        <v>55</v>
      </c>
      <c r="C27" s="4" t="s">
        <v>6</v>
      </c>
      <c r="D27" s="42"/>
      <c r="E27" s="42"/>
      <c r="F27" s="42"/>
      <c r="G27" s="42"/>
      <c r="H27" s="42"/>
      <c r="I27" s="42"/>
      <c r="J27" s="42"/>
      <c r="K27" s="42"/>
      <c r="L27" s="42"/>
      <c r="M27" s="42"/>
      <c r="N27" s="42"/>
      <c r="O27" s="42"/>
    </row>
    <row r="28" spans="1:15" x14ac:dyDescent="0.25">
      <c r="A28" s="4" t="s">
        <v>26</v>
      </c>
      <c r="B28" s="4">
        <v>54</v>
      </c>
      <c r="C28" s="4" t="s">
        <v>6</v>
      </c>
      <c r="D28" s="42">
        <v>2696</v>
      </c>
      <c r="E28" s="42">
        <v>3508</v>
      </c>
      <c r="F28" s="42">
        <v>1599</v>
      </c>
      <c r="G28" s="42">
        <v>2029</v>
      </c>
      <c r="H28" s="42">
        <v>185</v>
      </c>
      <c r="I28" s="42">
        <v>214</v>
      </c>
      <c r="J28" s="42">
        <v>341</v>
      </c>
      <c r="K28" s="42">
        <v>233</v>
      </c>
      <c r="L28" s="42">
        <f t="shared" si="14"/>
        <v>526</v>
      </c>
      <c r="M28" s="42">
        <f t="shared" si="15"/>
        <v>447</v>
      </c>
      <c r="N28" s="42">
        <f t="shared" si="12"/>
        <v>64.828897338403038</v>
      </c>
      <c r="O28" s="42">
        <f t="shared" si="13"/>
        <v>52.125279642058167</v>
      </c>
    </row>
    <row r="29" spans="1:15" x14ac:dyDescent="0.25">
      <c r="A29" s="21" t="s">
        <v>42</v>
      </c>
      <c r="B29" s="21">
        <v>59</v>
      </c>
      <c r="C29" s="21" t="s">
        <v>6</v>
      </c>
      <c r="D29" s="153"/>
      <c r="E29" s="153"/>
      <c r="F29" s="153"/>
      <c r="G29" s="153"/>
      <c r="H29" s="153"/>
      <c r="I29" s="153"/>
      <c r="J29" s="153"/>
      <c r="K29" s="153"/>
      <c r="L29" s="153"/>
      <c r="M29" s="153"/>
      <c r="N29" s="153"/>
      <c r="O29" s="153"/>
    </row>
    <row r="30" spans="1:15" x14ac:dyDescent="0.25">
      <c r="A30" s="4" t="s">
        <v>28</v>
      </c>
      <c r="B30" s="4">
        <v>70</v>
      </c>
      <c r="C30" s="4" t="s">
        <v>6</v>
      </c>
      <c r="D30" s="42">
        <v>4942</v>
      </c>
      <c r="E30" s="42">
        <v>3644</v>
      </c>
      <c r="F30" s="42">
        <v>2448</v>
      </c>
      <c r="G30" s="42">
        <v>2071</v>
      </c>
      <c r="H30" s="42">
        <v>81</v>
      </c>
      <c r="I30" s="42">
        <v>472</v>
      </c>
      <c r="J30" s="42">
        <v>95</v>
      </c>
      <c r="K30" s="42">
        <v>612</v>
      </c>
      <c r="L30" s="42">
        <f t="shared" si="14"/>
        <v>176</v>
      </c>
      <c r="M30" s="42">
        <f t="shared" si="15"/>
        <v>1084</v>
      </c>
      <c r="N30" s="42">
        <f t="shared" ref="N30:N31" si="16">J30*100/SUM(H30,J30)</f>
        <v>53.977272727272727</v>
      </c>
      <c r="O30" s="42">
        <f t="shared" ref="O30:O31" si="17">K30*100/SUM(I30,K30)</f>
        <v>56.457564575645755</v>
      </c>
    </row>
    <row r="31" spans="1:15" x14ac:dyDescent="0.25">
      <c r="A31" s="4" t="s">
        <v>150</v>
      </c>
      <c r="B31" s="4">
        <v>60</v>
      </c>
      <c r="C31" s="4" t="s">
        <v>6</v>
      </c>
      <c r="D31" s="42">
        <v>3595</v>
      </c>
      <c r="E31" s="42">
        <v>4466</v>
      </c>
      <c r="F31" s="42">
        <v>3025</v>
      </c>
      <c r="G31" s="42">
        <v>3357</v>
      </c>
      <c r="H31" s="42">
        <v>238</v>
      </c>
      <c r="I31" s="42">
        <v>347</v>
      </c>
      <c r="J31" s="42">
        <v>222</v>
      </c>
      <c r="K31" s="42">
        <v>259</v>
      </c>
      <c r="L31" s="42">
        <f t="shared" si="14"/>
        <v>460</v>
      </c>
      <c r="M31" s="42">
        <f t="shared" si="15"/>
        <v>606</v>
      </c>
      <c r="N31" s="42">
        <f t="shared" si="16"/>
        <v>48.260869565217391</v>
      </c>
      <c r="O31" s="42">
        <f t="shared" si="17"/>
        <v>42.739273927392738</v>
      </c>
    </row>
    <row r="32" spans="1:15" x14ac:dyDescent="0.25">
      <c r="A32" s="4" t="s">
        <v>3</v>
      </c>
      <c r="B32" s="4">
        <v>45</v>
      </c>
      <c r="C32" s="4" t="s">
        <v>4</v>
      </c>
      <c r="D32" s="42">
        <v>6026</v>
      </c>
      <c r="E32" s="42">
        <v>5286</v>
      </c>
      <c r="F32" s="42">
        <v>5715</v>
      </c>
      <c r="G32" s="42">
        <v>5796</v>
      </c>
      <c r="H32" s="42">
        <v>156</v>
      </c>
      <c r="I32" s="42">
        <v>142</v>
      </c>
      <c r="J32" s="42">
        <v>161</v>
      </c>
      <c r="K32" s="42">
        <v>340</v>
      </c>
      <c r="L32" s="42">
        <f t="shared" si="14"/>
        <v>317</v>
      </c>
      <c r="M32" s="42">
        <f t="shared" si="15"/>
        <v>482</v>
      </c>
      <c r="N32" s="42">
        <f t="shared" si="12"/>
        <v>50.788643533123029</v>
      </c>
      <c r="O32" s="42">
        <f t="shared" si="13"/>
        <v>70.539419087136935</v>
      </c>
    </row>
    <row r="33" spans="1:15" x14ac:dyDescent="0.25">
      <c r="A33" s="4" t="s">
        <v>9</v>
      </c>
      <c r="B33" s="4">
        <v>56</v>
      </c>
      <c r="C33" s="4" t="s">
        <v>4</v>
      </c>
      <c r="D33" s="42"/>
      <c r="E33" s="42"/>
      <c r="F33" s="42"/>
      <c r="G33" s="42"/>
      <c r="H33" s="42"/>
      <c r="I33" s="42"/>
      <c r="J33" s="42"/>
      <c r="K33" s="42"/>
      <c r="L33" s="42"/>
      <c r="M33" s="42"/>
      <c r="N33" s="42"/>
      <c r="O33" s="42"/>
    </row>
    <row r="34" spans="1:15" x14ac:dyDescent="0.25">
      <c r="A34" s="4" t="s">
        <v>11</v>
      </c>
      <c r="B34" s="4">
        <v>53</v>
      </c>
      <c r="C34" s="4" t="s">
        <v>4</v>
      </c>
      <c r="D34" s="42">
        <v>6872</v>
      </c>
      <c r="E34" s="42">
        <v>7849</v>
      </c>
      <c r="F34" s="42">
        <v>5188</v>
      </c>
      <c r="G34" s="42">
        <v>4945</v>
      </c>
      <c r="H34" s="42">
        <v>125</v>
      </c>
      <c r="I34" s="42">
        <v>43</v>
      </c>
      <c r="J34" s="42">
        <v>151</v>
      </c>
      <c r="K34" s="42">
        <v>111</v>
      </c>
      <c r="L34" s="42">
        <f t="shared" si="14"/>
        <v>276</v>
      </c>
      <c r="M34" s="42">
        <f t="shared" si="15"/>
        <v>154</v>
      </c>
      <c r="N34" s="42">
        <f t="shared" si="12"/>
        <v>54.710144927536234</v>
      </c>
      <c r="O34" s="42">
        <f t="shared" si="13"/>
        <v>72.077922077922082</v>
      </c>
    </row>
    <row r="35" spans="1:15" x14ac:dyDescent="0.25">
      <c r="A35" s="4" t="s">
        <v>12</v>
      </c>
      <c r="B35" s="4">
        <v>46</v>
      </c>
      <c r="C35" s="4" t="s">
        <v>4</v>
      </c>
      <c r="D35" s="42"/>
      <c r="E35" s="42"/>
      <c r="F35" s="42"/>
      <c r="G35" s="42"/>
      <c r="H35" s="42"/>
      <c r="I35" s="42"/>
      <c r="J35" s="42"/>
      <c r="K35" s="42"/>
      <c r="L35" s="42"/>
      <c r="M35" s="42"/>
      <c r="N35" s="42"/>
      <c r="O35" s="42"/>
    </row>
    <row r="36" spans="1:15" x14ac:dyDescent="0.25">
      <c r="A36" s="4" t="s">
        <v>23</v>
      </c>
      <c r="B36" s="4">
        <v>60</v>
      </c>
      <c r="C36" s="4" t="s">
        <v>4</v>
      </c>
      <c r="D36" s="42">
        <v>4195</v>
      </c>
      <c r="E36" s="42">
        <v>4432</v>
      </c>
      <c r="F36" s="42">
        <v>3067</v>
      </c>
      <c r="G36" s="42">
        <v>3335</v>
      </c>
      <c r="H36" s="42">
        <v>96</v>
      </c>
      <c r="I36" s="42">
        <v>58</v>
      </c>
      <c r="J36" s="42">
        <v>458</v>
      </c>
      <c r="K36" s="42">
        <v>424</v>
      </c>
      <c r="L36" s="42">
        <f t="shared" si="14"/>
        <v>554</v>
      </c>
      <c r="M36" s="42">
        <f t="shared" si="15"/>
        <v>482</v>
      </c>
      <c r="N36" s="42">
        <f t="shared" si="12"/>
        <v>82.671480144404327</v>
      </c>
      <c r="O36" s="42">
        <f t="shared" si="13"/>
        <v>87.966804979253112</v>
      </c>
    </row>
    <row r="37" spans="1:15" x14ac:dyDescent="0.25">
      <c r="A37" s="4" t="s">
        <v>27</v>
      </c>
      <c r="B37" s="4">
        <v>63</v>
      </c>
      <c r="C37" s="4" t="s">
        <v>4</v>
      </c>
      <c r="D37" s="154">
        <v>6457</v>
      </c>
      <c r="E37" s="42">
        <v>3172</v>
      </c>
      <c r="F37" s="154">
        <v>5663</v>
      </c>
      <c r="G37" s="42">
        <v>3658</v>
      </c>
      <c r="H37" s="42">
        <v>130</v>
      </c>
      <c r="I37" s="42">
        <v>504</v>
      </c>
      <c r="J37" s="42">
        <v>57</v>
      </c>
      <c r="K37" s="42">
        <v>324</v>
      </c>
      <c r="L37" s="42">
        <f t="shared" si="14"/>
        <v>187</v>
      </c>
      <c r="M37" s="42">
        <f t="shared" si="15"/>
        <v>828</v>
      </c>
      <c r="N37" s="42">
        <f t="shared" si="12"/>
        <v>30.481283422459892</v>
      </c>
      <c r="O37" s="42">
        <f t="shared" si="13"/>
        <v>39.130434782608695</v>
      </c>
    </row>
    <row r="38" spans="1:15" x14ac:dyDescent="0.25">
      <c r="A38" s="4" t="s">
        <v>29</v>
      </c>
      <c r="B38" s="4">
        <v>60</v>
      </c>
      <c r="C38" s="4" t="s">
        <v>4</v>
      </c>
      <c r="D38" s="42">
        <v>3051</v>
      </c>
      <c r="E38" s="42">
        <v>2336</v>
      </c>
      <c r="F38" s="42">
        <v>3300</v>
      </c>
      <c r="G38" s="42">
        <v>3710</v>
      </c>
      <c r="H38" s="42">
        <v>154</v>
      </c>
      <c r="I38" s="42">
        <v>237</v>
      </c>
      <c r="J38" s="42">
        <v>274</v>
      </c>
      <c r="K38" s="42">
        <v>486</v>
      </c>
      <c r="L38" s="42">
        <f t="shared" si="14"/>
        <v>428</v>
      </c>
      <c r="M38" s="42">
        <f t="shared" si="15"/>
        <v>723</v>
      </c>
      <c r="N38" s="42">
        <f t="shared" si="12"/>
        <v>64.018691588785046</v>
      </c>
      <c r="O38" s="42">
        <f t="shared" si="13"/>
        <v>67.219917012448136</v>
      </c>
    </row>
    <row r="39" spans="1:15" x14ac:dyDescent="0.25">
      <c r="A39" s="3" t="s">
        <v>33</v>
      </c>
      <c r="B39" s="8">
        <f>AVERAGE(B24:B38)</f>
        <v>56</v>
      </c>
      <c r="C39" s="8"/>
      <c r="D39" s="6">
        <f t="shared" ref="D39:G39" si="18">AVERAGE(D24:D38)</f>
        <v>4660.181818181818</v>
      </c>
      <c r="E39" s="6">
        <f t="shared" si="18"/>
        <v>4295.818181818182</v>
      </c>
      <c r="F39" s="6">
        <f t="shared" si="18"/>
        <v>3649.7272727272725</v>
      </c>
      <c r="G39" s="6">
        <f t="shared" si="18"/>
        <v>3489.090909090909</v>
      </c>
      <c r="H39" s="6">
        <f t="shared" ref="H39:K39" si="19">AVERAGE(H24:H38)</f>
        <v>148</v>
      </c>
      <c r="I39" s="6">
        <f t="shared" si="19"/>
        <v>269.36363636363637</v>
      </c>
      <c r="J39" s="6">
        <f t="shared" si="19"/>
        <v>181.36363636363637</v>
      </c>
      <c r="K39" s="6">
        <f t="shared" si="19"/>
        <v>299.36363636363637</v>
      </c>
      <c r="L39" s="6">
        <f t="shared" ref="L39:M39" si="20">AVERAGE(L24:L38)</f>
        <v>329.36363636363637</v>
      </c>
      <c r="M39" s="6">
        <f t="shared" si="20"/>
        <v>568.72727272727275</v>
      </c>
      <c r="N39" s="6">
        <f t="shared" ref="N39:O39" si="21">AVERAGE(N24:N38)</f>
        <v>50.363193515714968</v>
      </c>
      <c r="O39" s="6">
        <f t="shared" si="21"/>
        <v>53.409375949239646</v>
      </c>
    </row>
    <row r="40" spans="1:15" x14ac:dyDescent="0.25">
      <c r="A40" s="3" t="s">
        <v>34</v>
      </c>
      <c r="B40" s="8">
        <f>STDEV(B24:B38)</f>
        <v>6.3919592346277412</v>
      </c>
      <c r="C40" s="8"/>
      <c r="D40" s="6">
        <f t="shared" ref="D40:G40" si="22">STDEV(D24:D38)</f>
        <v>1609.9922247130148</v>
      </c>
      <c r="E40" s="6">
        <f t="shared" si="22"/>
        <v>1703.3077125511886</v>
      </c>
      <c r="F40" s="6">
        <f t="shared" si="22"/>
        <v>1555.9203122852464</v>
      </c>
      <c r="G40" s="6">
        <f t="shared" si="22"/>
        <v>1263.4227680824383</v>
      </c>
      <c r="H40" s="6">
        <f t="shared" ref="H40:K40" si="23">STDEV(H24:H38)</f>
        <v>46.675475359121947</v>
      </c>
      <c r="I40" s="6">
        <f t="shared" si="23"/>
        <v>171.81342946770647</v>
      </c>
      <c r="J40" s="6">
        <f t="shared" si="23"/>
        <v>129.78233525967448</v>
      </c>
      <c r="K40" s="6">
        <f t="shared" si="23"/>
        <v>165.27206220488247</v>
      </c>
      <c r="L40" s="6">
        <f t="shared" ref="L40:M40" si="24">STDEV(L24:L38)</f>
        <v>138.98292897134721</v>
      </c>
      <c r="M40" s="6">
        <f t="shared" si="24"/>
        <v>276.24955779479205</v>
      </c>
      <c r="N40" s="6">
        <f t="shared" ref="N40:O40" si="25">STDEV(N24:N38)</f>
        <v>16.808409630053472</v>
      </c>
      <c r="O40" s="6">
        <f t="shared" si="25"/>
        <v>19.705631339294722</v>
      </c>
    </row>
    <row r="41" spans="1:15" x14ac:dyDescent="0.25">
      <c r="A41" s="3" t="s">
        <v>39</v>
      </c>
      <c r="B41" s="7">
        <f>TTEST(B3:B17,B24:B38,2,2)</f>
        <v>0.71363485428568296</v>
      </c>
      <c r="C41" s="7"/>
      <c r="D41" s="7">
        <f t="shared" ref="D41:G41" si="26">TTEST(D3:D17,D24:D38,2,2)</f>
        <v>0.69046155936381126</v>
      </c>
      <c r="E41" s="7">
        <f t="shared" si="26"/>
        <v>0.78965987917591629</v>
      </c>
      <c r="F41" s="7">
        <f t="shared" si="26"/>
        <v>0.48146512895763804</v>
      </c>
      <c r="G41" s="7">
        <f t="shared" si="26"/>
        <v>0.38859815691998678</v>
      </c>
      <c r="H41" s="7">
        <f t="shared" ref="H41:K41" si="27">TTEST(H3:H17,H24:H38,2,2)</f>
        <v>0.28231966471878267</v>
      </c>
      <c r="I41" s="7">
        <f t="shared" si="27"/>
        <v>0.12442869088975131</v>
      </c>
      <c r="J41" s="7">
        <f t="shared" si="27"/>
        <v>0.79334615388400831</v>
      </c>
      <c r="K41" s="7">
        <f t="shared" si="27"/>
        <v>8.0682241205723135E-2</v>
      </c>
      <c r="L41" s="7">
        <f t="shared" ref="L41:M41" si="28">TTEST(L3:L17,L24:L38,2,2)</f>
        <v>0.56372244943562633</v>
      </c>
      <c r="M41" s="7">
        <f t="shared" si="28"/>
        <v>5.9005205003900267E-2</v>
      </c>
      <c r="N41" s="7">
        <f t="shared" ref="N41:O41" si="29">TTEST(N3:N17,N24:N38,2,2)</f>
        <v>0.46688023060357564</v>
      </c>
      <c r="O41" s="7">
        <f t="shared" si="29"/>
        <v>0.79358776269433939</v>
      </c>
    </row>
    <row r="42" spans="1:15" x14ac:dyDescent="0.25">
      <c r="A42" s="3" t="s">
        <v>160</v>
      </c>
      <c r="E42" s="23">
        <f>TTEST(D24:D38,E24:E38,2,1)</f>
        <v>0.35379721585559953</v>
      </c>
      <c r="G42" s="23">
        <f>TTEST(F24:F38,G24:G38,2,1)</f>
        <v>0.47428341243445304</v>
      </c>
      <c r="I42" s="23">
        <f>TTEST(H24:H38,I24:I38,2,1)</f>
        <v>4.193216953200133E-2</v>
      </c>
      <c r="K42" s="23">
        <f>TTEST(J24:J38,K24:K38,2,1)</f>
        <v>5.8214537896877437E-2</v>
      </c>
      <c r="M42" s="23">
        <f>TTEST(L24:L38,M24:M38,2,1)</f>
        <v>4.0441658271574608E-2</v>
      </c>
      <c r="O42" s="23">
        <f>TTEST(N24:N38,O24:O38,2,1)</f>
        <v>0.34981147296786952</v>
      </c>
    </row>
    <row r="45" spans="1:15" x14ac:dyDescent="0.25">
      <c r="A45" s="1" t="s">
        <v>350</v>
      </c>
      <c r="B45" s="1" t="s">
        <v>351</v>
      </c>
      <c r="C45" s="1" t="s">
        <v>352</v>
      </c>
      <c r="D45" s="1" t="s">
        <v>353</v>
      </c>
      <c r="E45" s="1" t="s">
        <v>354</v>
      </c>
      <c r="F45" s="1" t="s">
        <v>355</v>
      </c>
      <c r="G45" s="1" t="s">
        <v>356</v>
      </c>
      <c r="H45" s="1" t="s">
        <v>357</v>
      </c>
    </row>
    <row r="46" spans="1:15" x14ac:dyDescent="0.25">
      <c r="A46" s="1" t="s">
        <v>3</v>
      </c>
      <c r="B46" s="1">
        <v>9116</v>
      </c>
      <c r="C46" s="1">
        <v>7607</v>
      </c>
      <c r="D46" s="1">
        <v>13552</v>
      </c>
      <c r="E46" s="1">
        <v>7608</v>
      </c>
      <c r="F46" s="1">
        <v>69345412</v>
      </c>
      <c r="G46" s="1">
        <v>103090064</v>
      </c>
      <c r="H46" s="25">
        <v>1.4866169372531812</v>
      </c>
    </row>
    <row r="47" spans="1:15" x14ac:dyDescent="0.25">
      <c r="A47" s="1" t="s">
        <v>5</v>
      </c>
      <c r="B47" s="1">
        <v>9117</v>
      </c>
      <c r="C47" s="1">
        <v>7607</v>
      </c>
      <c r="D47" s="1">
        <v>9117</v>
      </c>
      <c r="E47" s="1">
        <v>9458</v>
      </c>
      <c r="F47" s="1">
        <v>69353019</v>
      </c>
      <c r="G47" s="1">
        <v>69353019</v>
      </c>
      <c r="H47" s="25">
        <v>1</v>
      </c>
    </row>
    <row r="48" spans="1:15" x14ac:dyDescent="0.25">
      <c r="A48" s="1" t="s">
        <v>7</v>
      </c>
      <c r="B48" s="1">
        <v>9117</v>
      </c>
      <c r="C48" s="1">
        <v>5757</v>
      </c>
      <c r="D48" s="1">
        <v>6899</v>
      </c>
      <c r="E48" s="1">
        <v>5757</v>
      </c>
      <c r="F48" s="1">
        <v>52486569</v>
      </c>
      <c r="G48" s="1">
        <v>39717543</v>
      </c>
      <c r="H48" s="25">
        <v>0.75671821871229572</v>
      </c>
    </row>
    <row r="49" spans="1:8" x14ac:dyDescent="0.25">
      <c r="A49" s="1" t="s">
        <v>8</v>
      </c>
      <c r="B49" s="1"/>
      <c r="C49" s="1"/>
      <c r="D49" s="1"/>
      <c r="E49" s="1"/>
      <c r="F49" s="1">
        <v>0</v>
      </c>
      <c r="G49" s="1">
        <v>0</v>
      </c>
      <c r="H49" s="25"/>
    </row>
    <row r="50" spans="1:8" x14ac:dyDescent="0.25">
      <c r="A50" s="1" t="s">
        <v>10</v>
      </c>
      <c r="B50" s="1">
        <v>6899</v>
      </c>
      <c r="C50" s="1">
        <v>7607</v>
      </c>
      <c r="D50" s="1">
        <v>6899</v>
      </c>
      <c r="E50" s="1">
        <v>7608</v>
      </c>
      <c r="F50" s="1">
        <v>52480693</v>
      </c>
      <c r="G50" s="1">
        <v>52480693</v>
      </c>
      <c r="H50" s="25">
        <v>1</v>
      </c>
    </row>
    <row r="51" spans="1:8" x14ac:dyDescent="0.25">
      <c r="A51" s="1" t="s">
        <v>11</v>
      </c>
      <c r="B51" s="1">
        <v>11334</v>
      </c>
      <c r="C51" s="1">
        <v>5757</v>
      </c>
      <c r="D51" s="1">
        <v>9116</v>
      </c>
      <c r="E51" s="1">
        <v>7607</v>
      </c>
      <c r="F51" s="1">
        <v>65249838</v>
      </c>
      <c r="G51" s="1">
        <v>52480812</v>
      </c>
      <c r="H51" s="25">
        <v>0.80430562908064229</v>
      </c>
    </row>
    <row r="52" spans="1:8" x14ac:dyDescent="0.25">
      <c r="A52" s="1" t="s">
        <v>13</v>
      </c>
      <c r="B52" s="1">
        <v>6899</v>
      </c>
      <c r="C52" s="1">
        <v>5756</v>
      </c>
      <c r="D52" s="1">
        <v>6899</v>
      </c>
      <c r="E52" s="1">
        <v>5757</v>
      </c>
      <c r="F52" s="1">
        <v>39710644</v>
      </c>
      <c r="G52" s="1">
        <v>39710644</v>
      </c>
      <c r="H52" s="25">
        <v>1</v>
      </c>
    </row>
    <row r="53" spans="1:8" x14ac:dyDescent="0.25">
      <c r="A53" s="1" t="s">
        <v>14</v>
      </c>
      <c r="B53" s="1">
        <v>6899</v>
      </c>
      <c r="C53" s="1">
        <v>7607</v>
      </c>
      <c r="D53" s="1">
        <v>6900</v>
      </c>
      <c r="E53" s="1">
        <v>5756</v>
      </c>
      <c r="F53" s="1">
        <v>52480693</v>
      </c>
      <c r="G53" s="1">
        <v>52488300</v>
      </c>
      <c r="H53" s="25">
        <v>1.0001449485432672</v>
      </c>
    </row>
    <row r="54" spans="1:8" x14ac:dyDescent="0.25">
      <c r="A54" s="1" t="s">
        <v>16</v>
      </c>
      <c r="B54" s="1">
        <v>6899</v>
      </c>
      <c r="C54" s="1">
        <v>5757</v>
      </c>
      <c r="D54" s="1">
        <v>5899</v>
      </c>
      <c r="E54" s="1">
        <v>5757</v>
      </c>
      <c r="F54" s="1">
        <v>39717543</v>
      </c>
      <c r="G54" s="1">
        <v>33960543</v>
      </c>
      <c r="H54" s="25">
        <v>0.85505145673285987</v>
      </c>
    </row>
    <row r="55" spans="1:8" x14ac:dyDescent="0.25">
      <c r="A55" s="1" t="s">
        <v>17</v>
      </c>
      <c r="B55" s="1">
        <v>6899</v>
      </c>
      <c r="C55" s="1">
        <v>7608</v>
      </c>
      <c r="D55" s="1">
        <v>9117</v>
      </c>
      <c r="E55" s="1">
        <v>9457</v>
      </c>
      <c r="F55" s="1">
        <v>52487592</v>
      </c>
      <c r="G55" s="1">
        <v>69362136</v>
      </c>
      <c r="H55" s="25">
        <v>1.3214958689665168</v>
      </c>
    </row>
    <row r="56" spans="1:8" x14ac:dyDescent="0.25">
      <c r="A56" s="1" t="s">
        <v>18</v>
      </c>
      <c r="B56" s="1">
        <v>4681</v>
      </c>
      <c r="C56" s="1">
        <v>9458</v>
      </c>
      <c r="D56" s="1">
        <v>9117</v>
      </c>
      <c r="E56" s="1">
        <v>11308</v>
      </c>
      <c r="F56" s="1">
        <v>44272898</v>
      </c>
      <c r="G56" s="1">
        <v>86228586</v>
      </c>
      <c r="H56" s="25">
        <v>1.9476607562486647</v>
      </c>
    </row>
    <row r="57" spans="1:8" x14ac:dyDescent="0.25">
      <c r="A57" s="1" t="s">
        <v>19</v>
      </c>
      <c r="B57" s="1">
        <v>6899</v>
      </c>
      <c r="C57" s="1">
        <v>5757</v>
      </c>
      <c r="D57" s="1">
        <v>9117</v>
      </c>
      <c r="E57" s="1">
        <v>7607</v>
      </c>
      <c r="F57" s="1">
        <v>39717543</v>
      </c>
      <c r="G57" s="1">
        <v>52486569</v>
      </c>
      <c r="H57" s="25">
        <v>1.3214958689665168</v>
      </c>
    </row>
    <row r="58" spans="1:8" x14ac:dyDescent="0.25">
      <c r="A58" s="1" t="s">
        <v>21</v>
      </c>
      <c r="B58" s="1">
        <v>6899</v>
      </c>
      <c r="C58" s="1">
        <v>9457</v>
      </c>
      <c r="D58" s="1">
        <v>9117</v>
      </c>
      <c r="E58" s="1">
        <v>9458</v>
      </c>
      <c r="F58" s="1">
        <v>65243843</v>
      </c>
      <c r="G58" s="1">
        <v>86219469</v>
      </c>
      <c r="H58" s="25">
        <v>1.3214958689665168</v>
      </c>
    </row>
    <row r="59" spans="1:8" x14ac:dyDescent="0.25">
      <c r="A59" s="1" t="s">
        <v>23</v>
      </c>
      <c r="B59" s="1">
        <v>9117</v>
      </c>
      <c r="C59" s="1">
        <v>7607</v>
      </c>
      <c r="D59" s="1">
        <v>11334</v>
      </c>
      <c r="E59" s="1">
        <v>13158</v>
      </c>
      <c r="F59" s="1">
        <v>69353019</v>
      </c>
      <c r="G59" s="1">
        <v>86217738</v>
      </c>
      <c r="H59" s="25">
        <v>1.2431720960842383</v>
      </c>
    </row>
    <row r="60" spans="1:8" x14ac:dyDescent="0.25">
      <c r="A60" s="1" t="s">
        <v>24</v>
      </c>
      <c r="B60" s="1">
        <v>9117</v>
      </c>
      <c r="C60" s="1">
        <v>7607</v>
      </c>
      <c r="D60" s="1">
        <v>9117</v>
      </c>
      <c r="E60" s="1">
        <v>9457</v>
      </c>
      <c r="F60" s="1">
        <v>69353019</v>
      </c>
      <c r="G60" s="1">
        <v>69353019</v>
      </c>
      <c r="H60" s="25">
        <v>1</v>
      </c>
    </row>
    <row r="61" spans="1:8" x14ac:dyDescent="0.25">
      <c r="A61" s="1" t="s">
        <v>25</v>
      </c>
      <c r="B61" s="1">
        <v>9117</v>
      </c>
      <c r="C61" s="1">
        <v>5757</v>
      </c>
      <c r="D61" s="1">
        <v>9117</v>
      </c>
      <c r="E61" s="1">
        <v>5757</v>
      </c>
      <c r="F61" s="1">
        <v>52486569</v>
      </c>
      <c r="G61" s="1">
        <v>52486569</v>
      </c>
      <c r="H61" s="25">
        <v>1</v>
      </c>
    </row>
    <row r="62" spans="1:8" x14ac:dyDescent="0.25">
      <c r="A62" s="1" t="s">
        <v>26</v>
      </c>
      <c r="B62" s="1">
        <v>9116</v>
      </c>
      <c r="C62" s="1">
        <v>5757</v>
      </c>
      <c r="D62" s="1">
        <v>6899</v>
      </c>
      <c r="E62" s="1">
        <v>7607</v>
      </c>
      <c r="F62" s="1">
        <v>52480812</v>
      </c>
      <c r="G62" s="1">
        <v>39717543</v>
      </c>
      <c r="H62" s="25">
        <v>0.75680122860903909</v>
      </c>
    </row>
    <row r="63" spans="1:8" x14ac:dyDescent="0.25">
      <c r="A63" s="1" t="s">
        <v>27</v>
      </c>
      <c r="B63" s="1">
        <v>5899</v>
      </c>
      <c r="C63" s="1">
        <v>7607</v>
      </c>
      <c r="D63" s="1">
        <v>11334</v>
      </c>
      <c r="E63" s="1">
        <v>7607</v>
      </c>
      <c r="F63" s="1">
        <v>44873693</v>
      </c>
      <c r="G63" s="1">
        <v>86217738</v>
      </c>
      <c r="H63" s="25">
        <v>1.9213426004407528</v>
      </c>
    </row>
    <row r="64" spans="1:8" x14ac:dyDescent="0.25">
      <c r="A64" s="1" t="s">
        <v>29</v>
      </c>
      <c r="B64" s="1">
        <v>11334</v>
      </c>
      <c r="C64" s="1">
        <v>5756</v>
      </c>
      <c r="D64" s="1">
        <v>13552</v>
      </c>
      <c r="E64" s="1">
        <v>5757</v>
      </c>
      <c r="F64" s="1">
        <v>65238504</v>
      </c>
      <c r="G64" s="1">
        <v>78005312</v>
      </c>
      <c r="H64" s="25">
        <v>1.1956943709193577</v>
      </c>
    </row>
    <row r="65" spans="1:8" x14ac:dyDescent="0.25">
      <c r="A65" s="1" t="s">
        <v>28</v>
      </c>
      <c r="B65" s="1">
        <v>4682</v>
      </c>
      <c r="C65" s="1">
        <v>7608</v>
      </c>
      <c r="D65" s="1">
        <v>9117</v>
      </c>
      <c r="E65" s="1">
        <v>9458</v>
      </c>
      <c r="F65" s="1">
        <v>35620656</v>
      </c>
      <c r="G65" s="1">
        <v>69362136</v>
      </c>
      <c r="H65" s="25">
        <v>1.9472447671935071</v>
      </c>
    </row>
    <row r="66" spans="1:8" x14ac:dyDescent="0.25">
      <c r="A66" s="1" t="s">
        <v>30</v>
      </c>
      <c r="B66" s="1">
        <v>9117</v>
      </c>
      <c r="C66" s="1">
        <v>9457</v>
      </c>
      <c r="D66" s="1">
        <v>9117</v>
      </c>
      <c r="E66" s="1">
        <v>5757</v>
      </c>
      <c r="F66" s="1">
        <v>86219469</v>
      </c>
      <c r="G66" s="1">
        <v>86219469</v>
      </c>
      <c r="H66" s="25">
        <v>1</v>
      </c>
    </row>
    <row r="67" spans="1:8" x14ac:dyDescent="0.25">
      <c r="A67" s="1" t="s">
        <v>31</v>
      </c>
      <c r="B67" s="1">
        <v>9116</v>
      </c>
      <c r="C67" s="1">
        <v>7607</v>
      </c>
      <c r="D67" s="1">
        <v>9117</v>
      </c>
      <c r="E67" s="1">
        <v>5757</v>
      </c>
      <c r="F67" s="1">
        <v>69345412</v>
      </c>
      <c r="G67" s="1">
        <v>69353019</v>
      </c>
      <c r="H67" s="25">
        <v>1.0001096972356296</v>
      </c>
    </row>
    <row r="68" spans="1:8" x14ac:dyDescent="0.25">
      <c r="A68" s="1" t="s">
        <v>149</v>
      </c>
      <c r="B68" s="1">
        <v>6899</v>
      </c>
      <c r="C68" s="1">
        <v>5757</v>
      </c>
      <c r="D68" s="1">
        <v>9117</v>
      </c>
      <c r="E68" s="1">
        <v>5757</v>
      </c>
      <c r="F68" s="1">
        <v>39717543</v>
      </c>
      <c r="G68" s="1">
        <v>52486569</v>
      </c>
      <c r="H68" s="25">
        <v>1.3214958689665168</v>
      </c>
    </row>
    <row r="69" spans="1:8" x14ac:dyDescent="0.25">
      <c r="A69" s="1" t="s">
        <v>150</v>
      </c>
      <c r="B69" s="1">
        <v>9116</v>
      </c>
      <c r="C69" s="1">
        <v>7607</v>
      </c>
      <c r="D69" s="1">
        <v>9117</v>
      </c>
      <c r="E69" s="1">
        <v>9458</v>
      </c>
      <c r="F69" s="1">
        <v>69345412</v>
      </c>
      <c r="G69" s="1">
        <v>69353019</v>
      </c>
      <c r="H69" s="25">
        <v>1.0001096972356296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AD5C-34E8-4E5D-BF29-E0CE58496D58}">
  <dimension ref="A1:M42"/>
  <sheetViews>
    <sheetView zoomScale="60" zoomScaleNormal="60" workbookViewId="0">
      <selection activeCell="J17" sqref="J3:J17"/>
    </sheetView>
  </sheetViews>
  <sheetFormatPr defaultRowHeight="15" x14ac:dyDescent="0.25"/>
  <cols>
    <col min="1" max="1" width="15.5703125" customWidth="1"/>
    <col min="2" max="2" width="14" customWidth="1"/>
    <col min="3" max="3" width="12.5703125" customWidth="1"/>
    <col min="4" max="4" width="28.5703125" bestFit="1" customWidth="1"/>
    <col min="5" max="5" width="22.85546875" bestFit="1" customWidth="1"/>
    <col min="6" max="6" width="23.42578125" bestFit="1" customWidth="1"/>
    <col min="7" max="7" width="25.28515625" bestFit="1" customWidth="1"/>
    <col min="8" max="8" width="28.5703125" bestFit="1" customWidth="1"/>
    <col min="9" max="9" width="22.85546875" bestFit="1" customWidth="1"/>
    <col min="10" max="10" width="23.42578125" bestFit="1" customWidth="1"/>
    <col min="11" max="11" width="25.28515625" bestFit="1" customWidth="1"/>
    <col min="12" max="13" width="25.28515625" customWidth="1"/>
  </cols>
  <sheetData>
    <row r="1" spans="1:13" x14ac:dyDescent="0.25">
      <c r="A1" s="4" t="s">
        <v>43</v>
      </c>
      <c r="B1" s="4"/>
      <c r="C1" s="4"/>
      <c r="D1" t="s">
        <v>368</v>
      </c>
      <c r="H1" t="s">
        <v>347</v>
      </c>
    </row>
    <row r="2" spans="1:13" x14ac:dyDescent="0.25">
      <c r="A2" s="3" t="s">
        <v>0</v>
      </c>
      <c r="B2" s="3" t="s">
        <v>1</v>
      </c>
      <c r="C2" s="3" t="s">
        <v>2</v>
      </c>
      <c r="D2" s="3" t="s">
        <v>343</v>
      </c>
      <c r="E2" s="3" t="s">
        <v>344</v>
      </c>
      <c r="F2" s="3" t="s">
        <v>345</v>
      </c>
      <c r="G2" s="3" t="s">
        <v>346</v>
      </c>
      <c r="H2" s="3" t="s">
        <v>343</v>
      </c>
      <c r="I2" s="3" t="s">
        <v>344</v>
      </c>
      <c r="J2" s="3" t="s">
        <v>345</v>
      </c>
      <c r="K2" s="3" t="s">
        <v>346</v>
      </c>
      <c r="L2" s="3" t="s">
        <v>358</v>
      </c>
      <c r="M2" s="3" t="s">
        <v>359</v>
      </c>
    </row>
    <row r="3" spans="1:13" x14ac:dyDescent="0.25">
      <c r="A3" s="4" t="s">
        <v>10</v>
      </c>
      <c r="B3" s="4">
        <v>59</v>
      </c>
      <c r="C3" s="4" t="s">
        <v>6</v>
      </c>
      <c r="D3" s="91">
        <v>2.1311475409836067</v>
      </c>
      <c r="E3" s="91">
        <v>1.8360655737704918</v>
      </c>
      <c r="F3" s="91">
        <v>1.0654205607476634</v>
      </c>
      <c r="G3" s="91">
        <v>0.78148148148148144</v>
      </c>
      <c r="H3">
        <v>61</v>
      </c>
      <c r="I3">
        <v>122</v>
      </c>
      <c r="J3">
        <v>107</v>
      </c>
      <c r="K3">
        <v>270</v>
      </c>
      <c r="L3" s="42">
        <f>SUM(H3,J3)</f>
        <v>168</v>
      </c>
      <c r="M3" s="42">
        <f>SUM(I3,K3)</f>
        <v>392</v>
      </c>
    </row>
    <row r="4" spans="1:13" x14ac:dyDescent="0.25">
      <c r="A4" s="4" t="s">
        <v>18</v>
      </c>
      <c r="B4" s="4">
        <v>48</v>
      </c>
      <c r="C4" s="4" t="s">
        <v>6</v>
      </c>
      <c r="D4" s="91">
        <v>3.2820512820512819</v>
      </c>
      <c r="E4" s="91">
        <v>2.28125</v>
      </c>
      <c r="F4" s="91">
        <v>2.635658914728682</v>
      </c>
      <c r="G4" s="91">
        <v>0.69635627530364375</v>
      </c>
      <c r="H4">
        <v>156</v>
      </c>
      <c r="I4">
        <v>384</v>
      </c>
      <c r="J4">
        <v>129</v>
      </c>
      <c r="K4">
        <v>247</v>
      </c>
      <c r="L4" s="42">
        <f t="shared" ref="L4:L17" si="0">SUM(H4,J4)</f>
        <v>285</v>
      </c>
      <c r="M4" s="42">
        <f t="shared" ref="M4:M17" si="1">SUM(I4,K4)</f>
        <v>631</v>
      </c>
    </row>
    <row r="5" spans="1:13" x14ac:dyDescent="0.25">
      <c r="A5" s="21" t="s">
        <v>20</v>
      </c>
      <c r="B5" s="21">
        <v>44</v>
      </c>
      <c r="C5" s="21" t="s">
        <v>6</v>
      </c>
      <c r="D5" s="153"/>
      <c r="E5" s="153"/>
      <c r="F5" s="153"/>
      <c r="G5" s="153"/>
      <c r="H5" s="153"/>
      <c r="I5" s="153"/>
      <c r="J5" s="153"/>
      <c r="K5" s="153"/>
      <c r="L5" s="153"/>
      <c r="M5" s="153"/>
    </row>
    <row r="6" spans="1:13" x14ac:dyDescent="0.25">
      <c r="A6" s="4" t="s">
        <v>21</v>
      </c>
      <c r="B6" s="4">
        <v>63</v>
      </c>
      <c r="C6" s="4" t="s">
        <v>6</v>
      </c>
      <c r="D6" s="91">
        <v>1.9561752988047809</v>
      </c>
      <c r="E6" s="91">
        <v>1.7602905569007263</v>
      </c>
      <c r="F6" s="91">
        <v>0.93442622950819676</v>
      </c>
      <c r="G6" s="91">
        <v>1.0951086956521738</v>
      </c>
      <c r="H6">
        <v>251</v>
      </c>
      <c r="I6">
        <v>413</v>
      </c>
      <c r="J6">
        <v>366</v>
      </c>
      <c r="K6">
        <v>368</v>
      </c>
      <c r="L6" s="42">
        <f t="shared" si="0"/>
        <v>617</v>
      </c>
      <c r="M6" s="42">
        <f t="shared" si="1"/>
        <v>781</v>
      </c>
    </row>
    <row r="7" spans="1:13" x14ac:dyDescent="0.25">
      <c r="A7" s="4" t="s">
        <v>24</v>
      </c>
      <c r="B7" s="4">
        <v>54</v>
      </c>
      <c r="C7" s="4" t="s">
        <v>6</v>
      </c>
      <c r="D7" s="91">
        <v>2.6746987951807228</v>
      </c>
      <c r="E7" s="91">
        <v>1.6780487804878048</v>
      </c>
      <c r="F7" s="91">
        <v>0.90131578947368418</v>
      </c>
      <c r="G7" s="91">
        <v>1.1411764705882352</v>
      </c>
      <c r="H7">
        <v>83</v>
      </c>
      <c r="I7">
        <v>205</v>
      </c>
      <c r="J7">
        <v>152</v>
      </c>
      <c r="K7">
        <v>255</v>
      </c>
      <c r="L7" s="42">
        <f t="shared" si="0"/>
        <v>235</v>
      </c>
      <c r="M7" s="42">
        <f t="shared" si="1"/>
        <v>460</v>
      </c>
    </row>
    <row r="8" spans="1:13" x14ac:dyDescent="0.25">
      <c r="A8" s="4" t="s">
        <v>25</v>
      </c>
      <c r="B8" s="4">
        <v>52</v>
      </c>
      <c r="C8" s="4" t="s">
        <v>6</v>
      </c>
      <c r="D8" s="91">
        <v>2.4615384615384617</v>
      </c>
      <c r="E8" s="91">
        <v>1.828125</v>
      </c>
      <c r="F8" s="91">
        <v>2.4257425742574257</v>
      </c>
      <c r="G8" s="91">
        <v>1.2900432900432901</v>
      </c>
      <c r="H8">
        <v>156</v>
      </c>
      <c r="I8">
        <v>192</v>
      </c>
      <c r="J8">
        <v>101</v>
      </c>
      <c r="K8">
        <v>231</v>
      </c>
      <c r="L8" s="42">
        <f t="shared" si="0"/>
        <v>257</v>
      </c>
      <c r="M8" s="42">
        <f t="shared" si="1"/>
        <v>423</v>
      </c>
    </row>
    <row r="9" spans="1:13" x14ac:dyDescent="0.25">
      <c r="A9" s="4" t="s">
        <v>31</v>
      </c>
      <c r="B9" s="4">
        <v>57</v>
      </c>
      <c r="C9" s="4" t="s">
        <v>6</v>
      </c>
      <c r="D9" s="91">
        <v>1.1375661375661377</v>
      </c>
      <c r="E9" s="91">
        <v>1.5137614678899083</v>
      </c>
      <c r="F9" s="91">
        <v>0.68527918781725883</v>
      </c>
      <c r="G9" s="91">
        <v>1.0161943319838056</v>
      </c>
      <c r="H9">
        <v>189</v>
      </c>
      <c r="I9">
        <v>218</v>
      </c>
      <c r="J9">
        <v>394</v>
      </c>
      <c r="K9">
        <v>247</v>
      </c>
      <c r="L9" s="42">
        <f t="shared" si="0"/>
        <v>583</v>
      </c>
      <c r="M9" s="42">
        <f t="shared" si="1"/>
        <v>465</v>
      </c>
    </row>
    <row r="10" spans="1:13" x14ac:dyDescent="0.25">
      <c r="A10" s="4" t="s">
        <v>32</v>
      </c>
      <c r="B10" s="4">
        <v>61</v>
      </c>
      <c r="C10" s="4" t="s">
        <v>6</v>
      </c>
      <c r="D10" s="42"/>
      <c r="E10" s="42"/>
      <c r="F10" s="42"/>
      <c r="G10" s="42"/>
      <c r="H10" s="42"/>
      <c r="I10" s="42"/>
      <c r="J10" s="42"/>
      <c r="K10" s="42"/>
      <c r="L10" s="42"/>
      <c r="M10" s="42"/>
    </row>
    <row r="11" spans="1:13" x14ac:dyDescent="0.25">
      <c r="A11" s="4" t="s">
        <v>7</v>
      </c>
      <c r="B11" s="4">
        <v>42</v>
      </c>
      <c r="C11" s="4" t="s">
        <v>4</v>
      </c>
      <c r="D11" s="42"/>
      <c r="E11" s="42"/>
      <c r="F11" s="42"/>
      <c r="G11" s="42"/>
      <c r="H11" s="42"/>
      <c r="I11" s="42"/>
      <c r="J11" s="42"/>
      <c r="K11" s="42"/>
      <c r="L11" s="42"/>
      <c r="M11" s="42"/>
    </row>
    <row r="12" spans="1:13" x14ac:dyDescent="0.25">
      <c r="A12" s="4" t="s">
        <v>8</v>
      </c>
      <c r="B12" s="4">
        <v>55</v>
      </c>
      <c r="C12" s="4" t="s">
        <v>4</v>
      </c>
      <c r="D12" s="42"/>
      <c r="E12" s="42"/>
      <c r="F12" s="42"/>
      <c r="G12" s="42"/>
      <c r="H12" s="42"/>
      <c r="I12" s="42"/>
      <c r="J12" s="42"/>
      <c r="K12" s="42"/>
      <c r="L12" s="42"/>
      <c r="M12" s="42"/>
    </row>
    <row r="13" spans="1:13" ht="15.75" x14ac:dyDescent="0.25">
      <c r="A13" s="4" t="s">
        <v>13</v>
      </c>
      <c r="B13" s="4">
        <v>44</v>
      </c>
      <c r="C13" s="4" t="s">
        <v>4</v>
      </c>
      <c r="D13" s="91">
        <v>1.8656716417910448</v>
      </c>
      <c r="E13" s="91">
        <v>1.7974683544303798</v>
      </c>
      <c r="F13" s="91">
        <v>2.4468085106382977</v>
      </c>
      <c r="G13" s="91">
        <v>1.7931034482758621</v>
      </c>
      <c r="H13">
        <v>67</v>
      </c>
      <c r="I13" s="157">
        <v>79</v>
      </c>
      <c r="J13">
        <v>47</v>
      </c>
      <c r="K13">
        <v>58</v>
      </c>
      <c r="L13" s="42">
        <f t="shared" si="0"/>
        <v>114</v>
      </c>
      <c r="M13" s="42">
        <f t="shared" si="1"/>
        <v>137</v>
      </c>
    </row>
    <row r="14" spans="1:13" x14ac:dyDescent="0.25">
      <c r="A14" s="4" t="s">
        <v>16</v>
      </c>
      <c r="B14" s="4">
        <v>64</v>
      </c>
      <c r="C14" s="4" t="s">
        <v>4</v>
      </c>
      <c r="D14" s="91">
        <v>4</v>
      </c>
      <c r="E14" s="91">
        <v>3.9193548387096775</v>
      </c>
      <c r="F14" s="91">
        <v>2.5902777777777777</v>
      </c>
      <c r="G14" s="91">
        <v>2.5377358490566038</v>
      </c>
      <c r="H14">
        <v>116</v>
      </c>
      <c r="I14">
        <v>62</v>
      </c>
      <c r="J14">
        <v>144</v>
      </c>
      <c r="K14">
        <v>106</v>
      </c>
      <c r="L14" s="42">
        <f t="shared" si="0"/>
        <v>260</v>
      </c>
      <c r="M14" s="42">
        <f t="shared" si="1"/>
        <v>168</v>
      </c>
    </row>
    <row r="15" spans="1:13" ht="15.75" x14ac:dyDescent="0.25">
      <c r="A15" s="4" t="s">
        <v>17</v>
      </c>
      <c r="B15" s="4">
        <v>69</v>
      </c>
      <c r="C15" s="4" t="s">
        <v>4</v>
      </c>
      <c r="D15" s="91">
        <v>2.8202247191011236</v>
      </c>
      <c r="E15" s="91">
        <v>1.4688995215311005</v>
      </c>
      <c r="F15" s="91">
        <v>0.94054054054054059</v>
      </c>
      <c r="G15" s="91">
        <v>1.2610619469026549</v>
      </c>
      <c r="H15" s="157">
        <v>89</v>
      </c>
      <c r="I15">
        <v>209</v>
      </c>
      <c r="J15">
        <v>185</v>
      </c>
      <c r="K15">
        <v>226</v>
      </c>
      <c r="L15" s="42">
        <f t="shared" si="0"/>
        <v>274</v>
      </c>
      <c r="M15" s="42">
        <f t="shared" si="1"/>
        <v>435</v>
      </c>
    </row>
    <row r="16" spans="1:13" x14ac:dyDescent="0.25">
      <c r="A16" s="4" t="s">
        <v>30</v>
      </c>
      <c r="B16" s="4">
        <v>50</v>
      </c>
      <c r="C16" s="4" t="s">
        <v>4</v>
      </c>
      <c r="D16" s="91">
        <v>1.4150943396226414</v>
      </c>
      <c r="E16" s="91">
        <v>1.6796875</v>
      </c>
      <c r="F16" s="91">
        <v>0.74794520547945209</v>
      </c>
      <c r="G16" s="91">
        <v>1.0424710424710424</v>
      </c>
      <c r="H16">
        <v>212</v>
      </c>
      <c r="I16">
        <v>128</v>
      </c>
      <c r="J16">
        <v>365</v>
      </c>
      <c r="K16">
        <v>259</v>
      </c>
      <c r="L16" s="42">
        <f t="shared" si="0"/>
        <v>577</v>
      </c>
      <c r="M16" s="42">
        <f t="shared" si="1"/>
        <v>387</v>
      </c>
    </row>
    <row r="17" spans="1:13" x14ac:dyDescent="0.25">
      <c r="A17" s="4" t="s">
        <v>149</v>
      </c>
      <c r="B17" s="4">
        <v>63</v>
      </c>
      <c r="C17" s="4" t="s">
        <v>4</v>
      </c>
      <c r="D17" s="91">
        <v>2.5873015873015874</v>
      </c>
      <c r="E17" s="91">
        <v>3.2571428571428571</v>
      </c>
      <c r="F17" s="91">
        <v>1.7575757575757576</v>
      </c>
      <c r="G17" s="91">
        <v>2.5947712418300655</v>
      </c>
      <c r="H17">
        <v>63</v>
      </c>
      <c r="I17">
        <v>105</v>
      </c>
      <c r="J17">
        <v>66</v>
      </c>
      <c r="K17">
        <v>153</v>
      </c>
      <c r="L17" s="42">
        <f t="shared" si="0"/>
        <v>129</v>
      </c>
      <c r="M17" s="42">
        <f t="shared" si="1"/>
        <v>258</v>
      </c>
    </row>
    <row r="18" spans="1:13" x14ac:dyDescent="0.25">
      <c r="A18" s="3" t="s">
        <v>33</v>
      </c>
      <c r="B18" s="8">
        <f>AVERAGE(B3:B17)</f>
        <v>55</v>
      </c>
      <c r="C18" s="8"/>
      <c r="D18" s="8">
        <f>AVERAGE(D3:D17)</f>
        <v>2.3937699821764897</v>
      </c>
      <c r="E18" s="8">
        <f>AVERAGE(E3:E17)</f>
        <v>2.0927358591693586</v>
      </c>
      <c r="F18" s="8">
        <f t="shared" ref="F18:M18" si="2">AVERAGE(F3:F17)</f>
        <v>1.557362822594976</v>
      </c>
      <c r="G18" s="8">
        <f t="shared" si="2"/>
        <v>1.3863185521444417</v>
      </c>
      <c r="H18" s="6">
        <f t="shared" si="2"/>
        <v>131.18181818181819</v>
      </c>
      <c r="I18" s="6">
        <f t="shared" si="2"/>
        <v>192.45454545454547</v>
      </c>
      <c r="J18" s="6">
        <f t="shared" si="2"/>
        <v>186.90909090909091</v>
      </c>
      <c r="K18" s="6">
        <f t="shared" si="2"/>
        <v>220</v>
      </c>
      <c r="L18" s="6">
        <f t="shared" si="2"/>
        <v>318.09090909090907</v>
      </c>
      <c r="M18" s="6">
        <f t="shared" si="2"/>
        <v>412.45454545454544</v>
      </c>
    </row>
    <row r="19" spans="1:13" x14ac:dyDescent="0.25">
      <c r="A19" s="3" t="s">
        <v>34</v>
      </c>
      <c r="B19" s="8">
        <f>STDEV(B3:B17)</f>
        <v>8.2635170651311842</v>
      </c>
      <c r="C19" s="8"/>
      <c r="D19" s="8">
        <f>STDEV(D3:D17)</f>
        <v>0.82140439800724896</v>
      </c>
      <c r="E19" s="8">
        <f>STDEV(E3:E17)</f>
        <v>0.78284589143363981</v>
      </c>
      <c r="F19" s="8">
        <f t="shared" ref="F19:M19" si="3">STDEV(F3:F17)</f>
        <v>0.81679430590627355</v>
      </c>
      <c r="G19" s="8">
        <f t="shared" si="3"/>
        <v>0.64950353996298427</v>
      </c>
      <c r="H19" s="6">
        <f t="shared" si="3"/>
        <v>65.945156276739809</v>
      </c>
      <c r="I19" s="6">
        <f t="shared" si="3"/>
        <v>115.35628603276342</v>
      </c>
      <c r="J19" s="6">
        <f t="shared" si="3"/>
        <v>126.9066227944425</v>
      </c>
      <c r="K19" s="6">
        <f t="shared" si="3"/>
        <v>85.143408435415594</v>
      </c>
      <c r="L19" s="6">
        <f t="shared" si="3"/>
        <v>185.34910549849147</v>
      </c>
      <c r="M19" s="6">
        <f t="shared" si="3"/>
        <v>187.0253264327394</v>
      </c>
    </row>
    <row r="20" spans="1:13" x14ac:dyDescent="0.25">
      <c r="A20" s="3" t="s">
        <v>160</v>
      </c>
      <c r="E20" s="23">
        <f>TTEST(D3:D17,E3:E17,2,1)</f>
        <v>0.14650044512370766</v>
      </c>
      <c r="G20" s="23">
        <f>TTEST(F3:F17,G3:G17,2,1)</f>
        <v>0.49189599451441224</v>
      </c>
      <c r="I20" s="23">
        <f>TTEST(H3:H17,I3:I17,2,1)</f>
        <v>5.0872796807444401E-2</v>
      </c>
      <c r="K20" s="23">
        <f>TTEST(J3:J17,K3:K17,2,1)</f>
        <v>0.29727813865293073</v>
      </c>
      <c r="L20" s="23"/>
      <c r="M20" s="23">
        <f>TTEST(L3:L17,M3:M17,2,1)</f>
        <v>9.02563934701021E-2</v>
      </c>
    </row>
    <row r="21" spans="1:13" x14ac:dyDescent="0.25">
      <c r="B21" s="4"/>
      <c r="C21" s="4"/>
    </row>
    <row r="22" spans="1:13" x14ac:dyDescent="0.25">
      <c r="A22" s="4" t="s">
        <v>44</v>
      </c>
    </row>
    <row r="23" spans="1:13" x14ac:dyDescent="0.25">
      <c r="A23" s="3" t="s">
        <v>0</v>
      </c>
      <c r="B23" s="3" t="s">
        <v>1</v>
      </c>
      <c r="C23" s="3" t="s">
        <v>2</v>
      </c>
      <c r="D23" s="3" t="s">
        <v>343</v>
      </c>
      <c r="E23" s="3" t="s">
        <v>344</v>
      </c>
      <c r="F23" s="3" t="s">
        <v>345</v>
      </c>
      <c r="G23" s="3" t="s">
        <v>346</v>
      </c>
      <c r="H23" s="3" t="s">
        <v>343</v>
      </c>
      <c r="I23" s="3" t="s">
        <v>344</v>
      </c>
      <c r="J23" s="3" t="s">
        <v>345</v>
      </c>
      <c r="K23" s="3" t="s">
        <v>346</v>
      </c>
      <c r="L23" s="3" t="s">
        <v>358</v>
      </c>
      <c r="M23" s="3" t="s">
        <v>359</v>
      </c>
    </row>
    <row r="24" spans="1:13" x14ac:dyDescent="0.25">
      <c r="A24" s="4" t="s">
        <v>5</v>
      </c>
      <c r="B24" s="4">
        <v>51</v>
      </c>
      <c r="C24" s="4" t="s">
        <v>6</v>
      </c>
      <c r="D24" s="91">
        <v>1.6407766990291262</v>
      </c>
      <c r="E24" s="91">
        <v>1.1584158415841583</v>
      </c>
      <c r="F24" s="91">
        <v>1.1208791208791209</v>
      </c>
      <c r="G24" s="91">
        <v>1.6217948717948718</v>
      </c>
      <c r="H24">
        <v>103</v>
      </c>
      <c r="I24">
        <v>202</v>
      </c>
      <c r="J24">
        <v>91</v>
      </c>
      <c r="K24">
        <v>156</v>
      </c>
      <c r="L24" s="42">
        <f>SUM(H24,J24)</f>
        <v>194</v>
      </c>
      <c r="M24" s="42">
        <f>SUM(I24,K24)</f>
        <v>358</v>
      </c>
    </row>
    <row r="25" spans="1:13" x14ac:dyDescent="0.25">
      <c r="A25" s="4" t="s">
        <v>14</v>
      </c>
      <c r="B25" s="4">
        <v>55</v>
      </c>
      <c r="C25" s="4" t="s">
        <v>6</v>
      </c>
      <c r="D25" s="42"/>
      <c r="E25" s="42"/>
      <c r="F25" s="42"/>
      <c r="G25" s="42"/>
      <c r="H25" s="42"/>
      <c r="I25" s="42"/>
      <c r="J25" s="42"/>
      <c r="K25" s="42"/>
      <c r="L25" s="42"/>
      <c r="M25" s="42"/>
    </row>
    <row r="26" spans="1:13" x14ac:dyDescent="0.25">
      <c r="A26" s="4" t="s">
        <v>19</v>
      </c>
      <c r="B26" s="4">
        <v>53</v>
      </c>
      <c r="C26" s="4" t="s">
        <v>6</v>
      </c>
      <c r="D26" s="91">
        <v>1.346820809248555</v>
      </c>
      <c r="E26" s="91">
        <v>1.118421052631579</v>
      </c>
      <c r="F26" s="91">
        <v>1.1940298507462686</v>
      </c>
      <c r="G26" s="91">
        <v>1.1355932203389831</v>
      </c>
      <c r="H26">
        <v>173</v>
      </c>
      <c r="I26">
        <v>532</v>
      </c>
      <c r="J26">
        <v>67</v>
      </c>
      <c r="K26">
        <v>295</v>
      </c>
      <c r="L26" s="42">
        <f>SUM(H26,J26)</f>
        <v>240</v>
      </c>
      <c r="M26" s="42">
        <f>SUM(I26,K26)</f>
        <v>827</v>
      </c>
    </row>
    <row r="27" spans="1:13" x14ac:dyDescent="0.25">
      <c r="A27" s="4" t="s">
        <v>22</v>
      </c>
      <c r="B27" s="4">
        <v>55</v>
      </c>
      <c r="C27" s="4" t="s">
        <v>6</v>
      </c>
      <c r="D27" s="42"/>
      <c r="E27" s="42"/>
      <c r="F27" s="42"/>
      <c r="G27" s="42"/>
      <c r="H27" s="42"/>
      <c r="I27" s="42"/>
      <c r="J27" s="42"/>
      <c r="K27" s="42"/>
      <c r="L27" s="42"/>
      <c r="M27" s="42"/>
    </row>
    <row r="28" spans="1:13" x14ac:dyDescent="0.25">
      <c r="A28" s="4" t="s">
        <v>26</v>
      </c>
      <c r="B28" s="4">
        <v>54</v>
      </c>
      <c r="C28" s="4" t="s">
        <v>6</v>
      </c>
      <c r="D28" s="91">
        <v>1.3135135135135134</v>
      </c>
      <c r="E28" s="91">
        <v>1.4532710280373833</v>
      </c>
      <c r="F28" s="91">
        <v>0.71260997067448684</v>
      </c>
      <c r="G28" s="91">
        <v>0.98283261802575106</v>
      </c>
      <c r="H28">
        <v>185</v>
      </c>
      <c r="I28">
        <v>214</v>
      </c>
      <c r="J28">
        <v>341</v>
      </c>
      <c r="K28">
        <v>233</v>
      </c>
      <c r="L28" s="42">
        <f>SUM(H28,J28)</f>
        <v>526</v>
      </c>
      <c r="M28" s="42">
        <f>SUM(I28,K28)</f>
        <v>447</v>
      </c>
    </row>
    <row r="29" spans="1:13" x14ac:dyDescent="0.25">
      <c r="A29" s="21" t="s">
        <v>42</v>
      </c>
      <c r="B29" s="21">
        <v>59</v>
      </c>
      <c r="C29" s="21" t="s">
        <v>6</v>
      </c>
      <c r="D29" s="153"/>
      <c r="E29" s="153"/>
      <c r="F29" s="153"/>
      <c r="G29" s="153"/>
      <c r="H29" s="153"/>
      <c r="I29" s="153"/>
      <c r="J29" s="153"/>
      <c r="K29" s="153"/>
      <c r="L29" s="153"/>
      <c r="M29" s="153"/>
    </row>
    <row r="30" spans="1:13" x14ac:dyDescent="0.25">
      <c r="A30" s="4" t="s">
        <v>28</v>
      </c>
      <c r="B30" s="4">
        <v>70</v>
      </c>
      <c r="C30" s="4" t="s">
        <v>6</v>
      </c>
      <c r="D30" s="91">
        <v>1.9876543209876543</v>
      </c>
      <c r="E30" s="91">
        <v>1.2144373673036093</v>
      </c>
      <c r="F30" s="91">
        <v>1.1789473684210525</v>
      </c>
      <c r="G30" s="91">
        <v>0.56508422664624813</v>
      </c>
      <c r="H30">
        <v>81</v>
      </c>
      <c r="I30">
        <v>471</v>
      </c>
      <c r="J30">
        <v>95</v>
      </c>
      <c r="K30">
        <v>653</v>
      </c>
      <c r="L30" s="42">
        <f>SUM(H30,J30)</f>
        <v>176</v>
      </c>
      <c r="M30" s="42">
        <f>SUM(I30,K30)</f>
        <v>1124</v>
      </c>
    </row>
    <row r="31" spans="1:13" x14ac:dyDescent="0.25">
      <c r="A31" s="4" t="s">
        <v>150</v>
      </c>
      <c r="B31" s="4">
        <v>60</v>
      </c>
      <c r="C31" s="4" t="s">
        <v>6</v>
      </c>
      <c r="D31" s="91">
        <v>1.9915966386554622</v>
      </c>
      <c r="E31" s="91">
        <v>2.1873198847262247</v>
      </c>
      <c r="F31" s="91">
        <v>1.5045045045045045</v>
      </c>
      <c r="G31" s="91">
        <v>1.4594594594594594</v>
      </c>
      <c r="H31">
        <v>238</v>
      </c>
      <c r="I31">
        <v>347</v>
      </c>
      <c r="J31">
        <v>222</v>
      </c>
      <c r="K31">
        <v>259</v>
      </c>
      <c r="L31" s="42">
        <f t="shared" ref="L31:L38" si="4">SUM(H31,J31)</f>
        <v>460</v>
      </c>
      <c r="M31" s="42">
        <f t="shared" ref="M31:M38" si="5">SUM(I31,K31)</f>
        <v>606</v>
      </c>
    </row>
    <row r="32" spans="1:13" x14ac:dyDescent="0.25">
      <c r="A32" s="4" t="s">
        <v>3</v>
      </c>
      <c r="B32" s="4">
        <v>45</v>
      </c>
      <c r="C32" s="4" t="s">
        <v>4</v>
      </c>
      <c r="D32" s="91">
        <v>2.4743589743589745</v>
      </c>
      <c r="E32" s="91">
        <v>3.823943661971831</v>
      </c>
      <c r="F32" s="91">
        <v>1.9006211180124224</v>
      </c>
      <c r="G32" s="91">
        <v>1.8911764705882352</v>
      </c>
      <c r="H32">
        <v>156</v>
      </c>
      <c r="I32">
        <v>142</v>
      </c>
      <c r="J32">
        <v>161</v>
      </c>
      <c r="K32">
        <v>340</v>
      </c>
      <c r="L32" s="42">
        <f t="shared" si="4"/>
        <v>317</v>
      </c>
      <c r="M32" s="42">
        <f t="shared" si="5"/>
        <v>482</v>
      </c>
    </row>
    <row r="33" spans="1:13" x14ac:dyDescent="0.25">
      <c r="A33" s="4" t="s">
        <v>9</v>
      </c>
      <c r="B33" s="4">
        <v>56</v>
      </c>
      <c r="C33" s="4" t="s">
        <v>4</v>
      </c>
      <c r="D33" s="42"/>
      <c r="E33" s="42"/>
      <c r="F33" s="42"/>
      <c r="G33" s="42"/>
      <c r="H33" s="42"/>
      <c r="I33" s="42"/>
      <c r="J33" s="42"/>
      <c r="K33" s="42"/>
      <c r="L33" s="42"/>
      <c r="M33" s="42"/>
    </row>
    <row r="34" spans="1:13" x14ac:dyDescent="0.25">
      <c r="A34" s="4" t="s">
        <v>11</v>
      </c>
      <c r="B34" s="4">
        <v>53</v>
      </c>
      <c r="C34" s="4" t="s">
        <v>4</v>
      </c>
      <c r="D34" s="91">
        <v>1.1120000000000001</v>
      </c>
      <c r="E34" s="91">
        <v>5</v>
      </c>
      <c r="F34" s="91">
        <v>0.86092715231788075</v>
      </c>
      <c r="G34" s="91">
        <v>2.0360360360360361</v>
      </c>
      <c r="H34">
        <v>125</v>
      </c>
      <c r="I34">
        <v>43</v>
      </c>
      <c r="J34">
        <v>151</v>
      </c>
      <c r="K34">
        <v>111</v>
      </c>
      <c r="L34" s="42">
        <f t="shared" si="4"/>
        <v>276</v>
      </c>
      <c r="M34" s="42">
        <f t="shared" si="5"/>
        <v>154</v>
      </c>
    </row>
    <row r="35" spans="1:13" x14ac:dyDescent="0.25">
      <c r="A35" s="4" t="s">
        <v>12</v>
      </c>
      <c r="B35" s="4">
        <v>46</v>
      </c>
      <c r="C35" s="4" t="s">
        <v>4</v>
      </c>
      <c r="D35" s="42"/>
      <c r="E35" s="42"/>
      <c r="F35" s="42"/>
      <c r="G35" s="42"/>
      <c r="H35" s="42"/>
      <c r="I35" s="42"/>
      <c r="J35" s="42"/>
      <c r="K35" s="42"/>
      <c r="L35" s="42"/>
      <c r="M35" s="42"/>
    </row>
    <row r="36" spans="1:13" x14ac:dyDescent="0.25">
      <c r="A36" s="4" t="s">
        <v>23</v>
      </c>
      <c r="B36" s="4">
        <v>60</v>
      </c>
      <c r="C36" s="4" t="s">
        <v>4</v>
      </c>
      <c r="D36" s="91">
        <v>2.6979166666666665</v>
      </c>
      <c r="E36" s="91">
        <v>4.3275862068965516</v>
      </c>
      <c r="F36" s="91">
        <v>0.84279475982532748</v>
      </c>
      <c r="G36" s="91">
        <v>1.3844339622641511</v>
      </c>
      <c r="H36">
        <v>96</v>
      </c>
      <c r="I36">
        <v>58</v>
      </c>
      <c r="J36">
        <v>458</v>
      </c>
      <c r="K36">
        <v>424</v>
      </c>
      <c r="L36" s="42">
        <f t="shared" si="4"/>
        <v>554</v>
      </c>
      <c r="M36" s="42">
        <f t="shared" si="5"/>
        <v>482</v>
      </c>
    </row>
    <row r="37" spans="1:13" x14ac:dyDescent="0.25">
      <c r="A37" s="4" t="s">
        <v>27</v>
      </c>
      <c r="B37" s="4">
        <v>63</v>
      </c>
      <c r="C37" s="4" t="s">
        <v>4</v>
      </c>
      <c r="D37" s="91">
        <v>2.4384615384615387</v>
      </c>
      <c r="E37" s="91">
        <v>1.865612648221344</v>
      </c>
      <c r="F37" s="91">
        <v>2.6315789473684212</v>
      </c>
      <c r="G37" s="91">
        <v>1.8251533742331287</v>
      </c>
      <c r="H37">
        <v>130</v>
      </c>
      <c r="I37">
        <v>506</v>
      </c>
      <c r="J37">
        <v>57</v>
      </c>
      <c r="K37">
        <v>326</v>
      </c>
      <c r="L37" s="42">
        <f t="shared" si="4"/>
        <v>187</v>
      </c>
      <c r="M37" s="42">
        <f t="shared" si="5"/>
        <v>832</v>
      </c>
    </row>
    <row r="38" spans="1:13" x14ac:dyDescent="0.25">
      <c r="A38" s="4" t="s">
        <v>29</v>
      </c>
      <c r="B38" s="4">
        <v>60</v>
      </c>
      <c r="C38" s="4" t="s">
        <v>4</v>
      </c>
      <c r="D38" s="91">
        <v>1.448051948051948</v>
      </c>
      <c r="E38" s="91">
        <v>2.2899159663865545</v>
      </c>
      <c r="F38" s="91">
        <v>1.0656934306569343</v>
      </c>
      <c r="G38" s="91">
        <v>1.6139630390143738</v>
      </c>
      <c r="H38">
        <v>154</v>
      </c>
      <c r="I38">
        <v>238</v>
      </c>
      <c r="J38">
        <v>274</v>
      </c>
      <c r="K38">
        <v>487</v>
      </c>
      <c r="L38" s="42">
        <f t="shared" si="4"/>
        <v>428</v>
      </c>
      <c r="M38" s="42">
        <f t="shared" si="5"/>
        <v>725</v>
      </c>
    </row>
    <row r="39" spans="1:13" x14ac:dyDescent="0.25">
      <c r="A39" s="3" t="s">
        <v>33</v>
      </c>
      <c r="B39" s="8">
        <f>AVERAGE(B24:B38)</f>
        <v>56</v>
      </c>
      <c r="C39" s="8"/>
      <c r="D39" s="8">
        <f t="shared" ref="D39:M39" si="6">AVERAGE(D24:D38)</f>
        <v>1.8451151108973438</v>
      </c>
      <c r="E39" s="8">
        <f t="shared" si="6"/>
        <v>2.4438923657759237</v>
      </c>
      <c r="F39" s="8">
        <f t="shared" si="6"/>
        <v>1.3012586223406419</v>
      </c>
      <c r="G39" s="8">
        <f t="shared" si="6"/>
        <v>1.4515527278401237</v>
      </c>
      <c r="H39" s="6">
        <f t="shared" si="6"/>
        <v>144.1</v>
      </c>
      <c r="I39" s="6">
        <f t="shared" si="6"/>
        <v>275.3</v>
      </c>
      <c r="J39" s="6">
        <f t="shared" si="6"/>
        <v>191.7</v>
      </c>
      <c r="K39" s="6">
        <f t="shared" si="6"/>
        <v>328.4</v>
      </c>
      <c r="L39" s="6">
        <f t="shared" si="6"/>
        <v>335.8</v>
      </c>
      <c r="M39" s="6">
        <f t="shared" si="6"/>
        <v>603.70000000000005</v>
      </c>
    </row>
    <row r="40" spans="1:13" x14ac:dyDescent="0.25">
      <c r="A40" s="3" t="s">
        <v>34</v>
      </c>
      <c r="B40" s="8">
        <f>STDEV(B24:B38)</f>
        <v>6.3919592346277412</v>
      </c>
      <c r="C40" s="8"/>
      <c r="D40" s="8">
        <f t="shared" ref="D40:M40" si="7">STDEV(D24:D38)</f>
        <v>0.55625944763949353</v>
      </c>
      <c r="E40" s="8">
        <f t="shared" si="7"/>
        <v>1.4264443062910153</v>
      </c>
      <c r="F40" s="8">
        <f t="shared" si="7"/>
        <v>0.58074381282620324</v>
      </c>
      <c r="G40" s="8">
        <f t="shared" si="7"/>
        <v>0.45212455423967451</v>
      </c>
      <c r="H40" s="6">
        <f t="shared" si="7"/>
        <v>47.273318760868335</v>
      </c>
      <c r="I40" s="6">
        <f t="shared" si="7"/>
        <v>180.13269800035997</v>
      </c>
      <c r="J40" s="6">
        <f t="shared" si="7"/>
        <v>131.94363274604129</v>
      </c>
      <c r="K40" s="6">
        <f t="shared" si="7"/>
        <v>160.49105201779247</v>
      </c>
      <c r="L40" s="6">
        <f t="shared" si="7"/>
        <v>144.76248746749894</v>
      </c>
      <c r="M40" s="6">
        <f t="shared" si="7"/>
        <v>279.72011805453764</v>
      </c>
    </row>
    <row r="41" spans="1:13" x14ac:dyDescent="0.25">
      <c r="A41" s="3" t="s">
        <v>39</v>
      </c>
      <c r="B41" s="7">
        <f>TTEST(B3:B17,B24:B38,2,2)</f>
        <v>0.71363485428568296</v>
      </c>
      <c r="C41" s="7"/>
      <c r="D41" s="7">
        <f t="shared" ref="D41:M41" si="8">TTEST(D3:D17,D24:D38,2,2)</f>
        <v>9.228538970368029E-2</v>
      </c>
      <c r="E41" s="7">
        <f t="shared" si="8"/>
        <v>0.48717443780850789</v>
      </c>
      <c r="F41" s="7">
        <f t="shared" si="8"/>
        <v>0.42235699250759151</v>
      </c>
      <c r="G41" s="7">
        <f t="shared" si="8"/>
        <v>0.79431762618069857</v>
      </c>
      <c r="H41" s="7">
        <f t="shared" si="8"/>
        <v>0.61522669679897757</v>
      </c>
      <c r="I41" s="7">
        <f t="shared" si="8"/>
        <v>0.22025230977021537</v>
      </c>
      <c r="J41" s="7">
        <f t="shared" si="8"/>
        <v>0.93331475701267452</v>
      </c>
      <c r="K41" s="7">
        <f t="shared" si="8"/>
        <v>6.4784853708851189E-2</v>
      </c>
      <c r="L41" s="7">
        <f t="shared" si="8"/>
        <v>0.81123337278865737</v>
      </c>
      <c r="M41" s="7">
        <f t="shared" si="8"/>
        <v>7.8675451885925257E-2</v>
      </c>
    </row>
    <row r="42" spans="1:13" x14ac:dyDescent="0.25">
      <c r="A42" s="3" t="s">
        <v>160</v>
      </c>
      <c r="E42" s="23">
        <f>TTEST(D24:D38,E24:E38,2,1)</f>
        <v>0.21326919425340138</v>
      </c>
      <c r="G42" s="23">
        <f>TTEST(F24:F38,G24:G38,2,1)</f>
        <v>0.43933399831797815</v>
      </c>
      <c r="I42" s="23">
        <f>TTEST(H24:H38,I24:I38,2,1)</f>
        <v>4.5586914056937523E-2</v>
      </c>
      <c r="K42" s="23">
        <f>TTEST(J24:J38,K24:K38,2,1)</f>
        <v>5.4992360569991038E-2</v>
      </c>
      <c r="M42" s="23">
        <f>TTEST(L24:L38,M24:M38,2,1)</f>
        <v>4.0608855685362162E-2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6D0DA-1F5D-4B92-99EC-9DCA338FDFB0}">
  <dimension ref="A1:Q73"/>
  <sheetViews>
    <sheetView topLeftCell="A21" zoomScale="60" zoomScaleNormal="60" workbookViewId="0">
      <selection activeCell="F54" sqref="F54"/>
    </sheetView>
  </sheetViews>
  <sheetFormatPr defaultColWidth="12.5703125" defaultRowHeight="15.75" customHeight="1" x14ac:dyDescent="0.25"/>
  <cols>
    <col min="1" max="1" width="14.28515625" style="38" bestFit="1" customWidth="1"/>
    <col min="2" max="2" width="28.5703125" style="38" bestFit="1" customWidth="1"/>
    <col min="3" max="3" width="27.7109375" style="38" bestFit="1" customWidth="1"/>
    <col min="4" max="4" width="30.7109375" style="38" bestFit="1" customWidth="1"/>
    <col min="5" max="5" width="32.140625" style="38" bestFit="1" customWidth="1"/>
    <col min="6" max="6" width="27.7109375" style="38" bestFit="1" customWidth="1"/>
    <col min="7" max="7" width="28.85546875" style="38" bestFit="1" customWidth="1"/>
    <col min="8" max="8" width="28.5703125" style="38" bestFit="1" customWidth="1"/>
    <col min="9" max="9" width="29.7109375" style="38" bestFit="1" customWidth="1"/>
    <col min="10" max="10" width="23.5703125" style="38" bestFit="1" customWidth="1"/>
    <col min="11" max="11" width="24.85546875" style="38" bestFit="1" customWidth="1"/>
    <col min="12" max="12" width="23.85546875" style="38" bestFit="1" customWidth="1"/>
    <col min="13" max="13" width="16.28515625" style="38" customWidth="1"/>
    <col min="14" max="14" width="29.85546875" style="38" bestFit="1" customWidth="1"/>
    <col min="15" max="15" width="25.42578125" style="38" bestFit="1" customWidth="1"/>
    <col min="16" max="16" width="31.28515625" style="38" bestFit="1" customWidth="1"/>
    <col min="17" max="17" width="33" style="38" bestFit="1" customWidth="1"/>
    <col min="18" max="18" width="18.28515625" style="38" customWidth="1"/>
    <col min="19" max="19" width="21.85546875" style="38" customWidth="1"/>
    <col min="20" max="16384" width="12.5703125" style="38"/>
  </cols>
  <sheetData>
    <row r="1" spans="1:17" ht="15.75" customHeight="1" x14ac:dyDescent="0.25">
      <c r="A1" s="3" t="s">
        <v>0</v>
      </c>
      <c r="B1" s="3" t="s">
        <v>1</v>
      </c>
      <c r="C1" s="3" t="s">
        <v>2</v>
      </c>
      <c r="D1" s="3" t="s">
        <v>360</v>
      </c>
      <c r="E1" s="3" t="s">
        <v>363</v>
      </c>
      <c r="F1" s="3" t="s">
        <v>361</v>
      </c>
      <c r="G1" s="3" t="s">
        <v>364</v>
      </c>
      <c r="H1" s="3" t="s">
        <v>362</v>
      </c>
      <c r="I1" s="3" t="s">
        <v>365</v>
      </c>
      <c r="J1" s="3" t="s">
        <v>366</v>
      </c>
      <c r="K1" s="3" t="s">
        <v>367</v>
      </c>
      <c r="M1" s="3" t="s">
        <v>0</v>
      </c>
      <c r="N1" s="3" t="s">
        <v>361</v>
      </c>
      <c r="O1" s="38" t="s">
        <v>364</v>
      </c>
      <c r="P1" s="3" t="s">
        <v>362</v>
      </c>
      <c r="Q1" s="3" t="s">
        <v>365</v>
      </c>
    </row>
    <row r="2" spans="1:17" s="61" customFormat="1" ht="15.75" customHeight="1" x14ac:dyDescent="0.25">
      <c r="A2" s="4" t="s">
        <v>10</v>
      </c>
      <c r="B2" s="4">
        <v>59</v>
      </c>
      <c r="C2" s="4" t="s">
        <v>6</v>
      </c>
      <c r="D2" s="44">
        <v>74</v>
      </c>
      <c r="E2" s="44">
        <v>79.333333333333329</v>
      </c>
      <c r="F2" s="44">
        <v>139.66666666666666</v>
      </c>
      <c r="G2" s="44">
        <v>143.33333333333334</v>
      </c>
      <c r="H2" s="44">
        <v>78.333333333333329</v>
      </c>
      <c r="I2" s="44">
        <v>77.666666666666671</v>
      </c>
      <c r="J2" s="44">
        <v>119.22222222222221</v>
      </c>
      <c r="K2" s="44">
        <v>121.44444444444446</v>
      </c>
      <c r="M2" s="4" t="s">
        <v>3</v>
      </c>
      <c r="N2" s="44">
        <v>124.33333333333333</v>
      </c>
      <c r="O2" s="44">
        <v>122</v>
      </c>
      <c r="P2" s="44">
        <v>74.666666666666671</v>
      </c>
      <c r="Q2" s="44">
        <v>78.333333333333329</v>
      </c>
    </row>
    <row r="3" spans="1:17" ht="15.75" customHeight="1" x14ac:dyDescent="0.25">
      <c r="A3" s="4" t="s">
        <v>18</v>
      </c>
      <c r="B3" s="4">
        <v>48</v>
      </c>
      <c r="C3" s="4" t="s">
        <v>6</v>
      </c>
      <c r="D3" s="44">
        <v>65.666666666666671</v>
      </c>
      <c r="E3" s="44">
        <v>59.666666666666664</v>
      </c>
      <c r="F3" s="44">
        <v>119.66666666666667</v>
      </c>
      <c r="G3" s="44">
        <v>124</v>
      </c>
      <c r="H3" s="44">
        <v>80.333333333333329</v>
      </c>
      <c r="I3" s="44">
        <v>83</v>
      </c>
      <c r="J3" s="44">
        <v>106.55555555555556</v>
      </c>
      <c r="K3" s="44">
        <v>110.33333333333333</v>
      </c>
      <c r="M3" s="4" t="s">
        <v>5</v>
      </c>
      <c r="N3" s="44">
        <v>107.66666666666667</v>
      </c>
      <c r="O3" s="44">
        <v>105.66666666666667</v>
      </c>
      <c r="P3" s="44">
        <v>77</v>
      </c>
      <c r="Q3" s="44">
        <v>77.333333333333329</v>
      </c>
    </row>
    <row r="4" spans="1:17" ht="15.75" customHeight="1" x14ac:dyDescent="0.25">
      <c r="A4" s="21" t="s">
        <v>20</v>
      </c>
      <c r="B4" s="21">
        <v>44</v>
      </c>
      <c r="C4" s="21" t="s">
        <v>6</v>
      </c>
      <c r="M4" s="4" t="s">
        <v>7</v>
      </c>
      <c r="N4" s="44">
        <v>111.33333333333333</v>
      </c>
      <c r="O4" s="44">
        <v>108.66666666666667</v>
      </c>
      <c r="P4" s="44">
        <v>74.333333333333329</v>
      </c>
      <c r="Q4" s="44">
        <v>73.666666666666671</v>
      </c>
    </row>
    <row r="5" spans="1:17" ht="15.75" customHeight="1" x14ac:dyDescent="0.25">
      <c r="A5" s="4" t="s">
        <v>21</v>
      </c>
      <c r="B5" s="4">
        <v>63</v>
      </c>
      <c r="C5" s="4" t="s">
        <v>6</v>
      </c>
      <c r="D5" s="44">
        <v>59.666666666666664</v>
      </c>
      <c r="E5" s="44">
        <v>62</v>
      </c>
      <c r="F5" s="44">
        <v>115.33333333333333</v>
      </c>
      <c r="G5" s="44">
        <v>119.33333333333333</v>
      </c>
      <c r="H5" s="44">
        <v>79</v>
      </c>
      <c r="I5" s="44">
        <v>83</v>
      </c>
      <c r="J5" s="44">
        <v>103.22222222222221</v>
      </c>
      <c r="K5" s="44">
        <v>107.22222222222221</v>
      </c>
      <c r="M5" s="4" t="s">
        <v>8</v>
      </c>
      <c r="N5" s="44">
        <v>132</v>
      </c>
      <c r="O5" s="44">
        <v>172.33333333333334</v>
      </c>
      <c r="P5" s="44">
        <v>80.666666666666671</v>
      </c>
      <c r="Q5" s="44">
        <v>94.666666666666671</v>
      </c>
    </row>
    <row r="6" spans="1:17" ht="15.75" customHeight="1" x14ac:dyDescent="0.25">
      <c r="A6" s="4" t="s">
        <v>24</v>
      </c>
      <c r="B6" s="4">
        <v>54</v>
      </c>
      <c r="C6" s="4" t="s">
        <v>6</v>
      </c>
      <c r="D6" s="44">
        <v>57</v>
      </c>
      <c r="E6" s="44">
        <v>66.333333333333329</v>
      </c>
      <c r="F6" s="44">
        <v>135.66666666666666</v>
      </c>
      <c r="G6" s="44">
        <v>133.66666666666666</v>
      </c>
      <c r="H6" s="44">
        <v>83</v>
      </c>
      <c r="I6" s="44">
        <v>83</v>
      </c>
      <c r="J6" s="44">
        <v>118.1111111111111</v>
      </c>
      <c r="K6" s="44">
        <v>116.77777777777777</v>
      </c>
      <c r="M6" s="4" t="s">
        <v>9</v>
      </c>
      <c r="N6" s="44">
        <v>125.66666666666667</v>
      </c>
      <c r="O6" s="44">
        <v>149.33333333333334</v>
      </c>
      <c r="P6" s="155">
        <v>93.666666666666671</v>
      </c>
      <c r="Q6" s="44">
        <v>109.33333333333333</v>
      </c>
    </row>
    <row r="7" spans="1:17" ht="15.75" customHeight="1" x14ac:dyDescent="0.25">
      <c r="A7" s="4" t="s">
        <v>25</v>
      </c>
      <c r="B7" s="4">
        <v>52</v>
      </c>
      <c r="C7" s="4" t="s">
        <v>6</v>
      </c>
      <c r="D7" s="44">
        <v>56.333333333333336</v>
      </c>
      <c r="E7" s="44">
        <v>63</v>
      </c>
      <c r="F7" s="44">
        <v>151.33333333333334</v>
      </c>
      <c r="G7" s="44">
        <v>147.66666666666666</v>
      </c>
      <c r="H7" s="44">
        <v>91</v>
      </c>
      <c r="I7" s="44">
        <v>90.666666666666671</v>
      </c>
      <c r="J7" s="44">
        <v>131.22222222222223</v>
      </c>
      <c r="K7" s="44">
        <v>128.66666666666666</v>
      </c>
      <c r="M7" s="4" t="s">
        <v>10</v>
      </c>
      <c r="N7" s="44">
        <v>139.66666666666666</v>
      </c>
      <c r="O7" s="44">
        <v>143.33333333333334</v>
      </c>
      <c r="P7" s="44">
        <v>78.333333333333329</v>
      </c>
      <c r="Q7" s="44">
        <v>77.666666666666671</v>
      </c>
    </row>
    <row r="8" spans="1:17" ht="15.75" customHeight="1" x14ac:dyDescent="0.25">
      <c r="A8" s="4" t="s">
        <v>31</v>
      </c>
      <c r="B8" s="4">
        <v>57</v>
      </c>
      <c r="C8" s="4" t="s">
        <v>6</v>
      </c>
      <c r="D8" s="44">
        <v>55</v>
      </c>
      <c r="E8" s="44">
        <v>57</v>
      </c>
      <c r="F8" s="44">
        <v>113.33333333333333</v>
      </c>
      <c r="G8" s="44">
        <v>123.33333333333333</v>
      </c>
      <c r="H8" s="44">
        <v>86.333333333333329</v>
      </c>
      <c r="I8" s="44">
        <v>77.333333333333329</v>
      </c>
      <c r="J8" s="44">
        <v>104.33333333333333</v>
      </c>
      <c r="K8" s="44">
        <v>108</v>
      </c>
      <c r="M8" s="4" t="s">
        <v>11</v>
      </c>
      <c r="N8" s="44">
        <v>130</v>
      </c>
      <c r="O8" s="44">
        <v>135.66666666666666</v>
      </c>
      <c r="P8" s="44">
        <v>78.333333333333329</v>
      </c>
      <c r="Q8" s="44">
        <v>83</v>
      </c>
    </row>
    <row r="9" spans="1:17" ht="15.75" customHeight="1" x14ac:dyDescent="0.25">
      <c r="A9" s="4" t="s">
        <v>32</v>
      </c>
      <c r="B9" s="4">
        <v>61</v>
      </c>
      <c r="C9" s="4" t="s">
        <v>6</v>
      </c>
      <c r="D9" s="44">
        <v>53.666666666666664</v>
      </c>
      <c r="E9" s="44">
        <v>60.333333333333336</v>
      </c>
      <c r="F9" s="44">
        <v>122</v>
      </c>
      <c r="G9" s="44">
        <v>118.33333333333333</v>
      </c>
      <c r="H9" s="44">
        <v>71.666666666666671</v>
      </c>
      <c r="I9" s="44">
        <v>68.333333333333329</v>
      </c>
      <c r="J9" s="44">
        <v>105.22222222222223</v>
      </c>
      <c r="K9" s="44">
        <v>101.66666666666667</v>
      </c>
      <c r="M9" s="4" t="s">
        <v>12</v>
      </c>
      <c r="N9" s="44">
        <v>131.66666666666666</v>
      </c>
      <c r="O9" s="44">
        <v>133</v>
      </c>
      <c r="P9" s="44">
        <v>86.333333333333329</v>
      </c>
      <c r="Q9" s="44">
        <v>86.666666666666671</v>
      </c>
    </row>
    <row r="10" spans="1:17" ht="15.75" customHeight="1" x14ac:dyDescent="0.25">
      <c r="A10" s="4" t="s">
        <v>7</v>
      </c>
      <c r="B10" s="4">
        <v>42</v>
      </c>
      <c r="C10" s="4" t="s">
        <v>4</v>
      </c>
      <c r="D10" s="44">
        <v>68.666666666666671</v>
      </c>
      <c r="E10" s="44">
        <v>69.333333333333329</v>
      </c>
      <c r="F10" s="44">
        <v>111.33333333333333</v>
      </c>
      <c r="G10" s="44">
        <v>108.66666666666667</v>
      </c>
      <c r="H10" s="44">
        <v>74.333333333333329</v>
      </c>
      <c r="I10" s="44">
        <v>73.666666666666671</v>
      </c>
      <c r="J10" s="44">
        <v>99</v>
      </c>
      <c r="K10" s="44">
        <v>97</v>
      </c>
      <c r="M10" s="4" t="s">
        <v>13</v>
      </c>
      <c r="N10" s="44">
        <v>135</v>
      </c>
      <c r="O10" s="44">
        <v>118.33333333333333</v>
      </c>
      <c r="P10" s="44">
        <v>83.666666666666671</v>
      </c>
      <c r="Q10" s="44">
        <v>76</v>
      </c>
    </row>
    <row r="11" spans="1:17" ht="15.75" customHeight="1" x14ac:dyDescent="0.25">
      <c r="A11" s="4" t="s">
        <v>8</v>
      </c>
      <c r="B11" s="4">
        <v>55</v>
      </c>
      <c r="C11" s="4" t="s">
        <v>4</v>
      </c>
      <c r="D11" s="44">
        <v>67.666666666666671</v>
      </c>
      <c r="E11" s="44">
        <v>79.666666666666671</v>
      </c>
      <c r="F11" s="44">
        <v>132</v>
      </c>
      <c r="G11" s="44">
        <v>172.33333333333334</v>
      </c>
      <c r="H11" s="44">
        <v>80.666666666666671</v>
      </c>
      <c r="I11" s="44">
        <v>94.666666666666671</v>
      </c>
      <c r="J11" s="44">
        <v>114.8888888888889</v>
      </c>
      <c r="K11" s="44">
        <v>146.44444444444446</v>
      </c>
      <c r="M11" s="4" t="s">
        <v>14</v>
      </c>
      <c r="N11" s="44">
        <v>93.666666666666671</v>
      </c>
      <c r="O11" s="44">
        <v>102</v>
      </c>
      <c r="P11" s="44">
        <v>62.666666666666664</v>
      </c>
      <c r="Q11" s="44">
        <v>62.333333333333336</v>
      </c>
    </row>
    <row r="12" spans="1:17" ht="15.75" customHeight="1" x14ac:dyDescent="0.25">
      <c r="A12" s="4" t="s">
        <v>13</v>
      </c>
      <c r="B12" s="4">
        <v>44</v>
      </c>
      <c r="C12" s="4" t="s">
        <v>4</v>
      </c>
      <c r="D12" s="44">
        <v>64</v>
      </c>
      <c r="E12" s="44">
        <v>64.333333333333329</v>
      </c>
      <c r="F12" s="44">
        <v>135</v>
      </c>
      <c r="G12" s="44">
        <v>118.33333333333333</v>
      </c>
      <c r="H12" s="44">
        <v>83.666666666666671</v>
      </c>
      <c r="I12" s="44">
        <v>76</v>
      </c>
      <c r="J12" s="44">
        <v>117.8888888888889</v>
      </c>
      <c r="K12" s="44">
        <v>104.22222222222221</v>
      </c>
      <c r="M12" s="4" t="s">
        <v>16</v>
      </c>
      <c r="N12" s="44">
        <v>113.66666666666667</v>
      </c>
      <c r="O12" s="44">
        <v>120</v>
      </c>
      <c r="P12" s="44">
        <v>70.666666666666671</v>
      </c>
      <c r="Q12" s="44">
        <v>76</v>
      </c>
    </row>
    <row r="13" spans="1:17" ht="15.75" customHeight="1" x14ac:dyDescent="0.25">
      <c r="A13" s="4" t="s">
        <v>16</v>
      </c>
      <c r="B13" s="4">
        <v>64</v>
      </c>
      <c r="C13" s="4" t="s">
        <v>4</v>
      </c>
      <c r="D13" s="44">
        <v>57.666666666666664</v>
      </c>
      <c r="E13" s="44">
        <v>73.333333333333329</v>
      </c>
      <c r="F13" s="44">
        <v>113.66666666666667</v>
      </c>
      <c r="G13" s="44">
        <v>120</v>
      </c>
      <c r="H13" s="44">
        <v>70.666666666666671</v>
      </c>
      <c r="I13" s="44">
        <v>76</v>
      </c>
      <c r="J13" s="44">
        <v>99.333333333333329</v>
      </c>
      <c r="K13" s="44">
        <v>105.33333333333333</v>
      </c>
      <c r="M13" s="4" t="s">
        <v>17</v>
      </c>
      <c r="N13" s="44">
        <v>142</v>
      </c>
      <c r="O13" s="44">
        <v>143.66666666666666</v>
      </c>
      <c r="P13" s="44">
        <v>86.333333333333329</v>
      </c>
      <c r="Q13" s="44">
        <v>85.666666666666671</v>
      </c>
    </row>
    <row r="14" spans="1:17" ht="15.75" customHeight="1" x14ac:dyDescent="0.25">
      <c r="A14" s="4" t="s">
        <v>17</v>
      </c>
      <c r="B14" s="4">
        <v>69</v>
      </c>
      <c r="C14" s="4" t="s">
        <v>4</v>
      </c>
      <c r="D14" s="44">
        <v>58</v>
      </c>
      <c r="E14" s="44">
        <v>55</v>
      </c>
      <c r="F14" s="44">
        <v>142</v>
      </c>
      <c r="G14" s="44">
        <v>143.66666666666666</v>
      </c>
      <c r="H14" s="44">
        <v>86.333333333333329</v>
      </c>
      <c r="I14" s="44">
        <v>85.666666666666671</v>
      </c>
      <c r="J14" s="44">
        <v>123.44444444444444</v>
      </c>
      <c r="K14" s="44">
        <v>124.33333333333333</v>
      </c>
      <c r="M14" s="4" t="s">
        <v>18</v>
      </c>
      <c r="N14" s="44">
        <v>119.66666666666667</v>
      </c>
      <c r="O14" s="44">
        <v>124</v>
      </c>
      <c r="P14" s="44">
        <v>80.333333333333329</v>
      </c>
      <c r="Q14" s="44">
        <v>83</v>
      </c>
    </row>
    <row r="15" spans="1:17" ht="15.75" customHeight="1" x14ac:dyDescent="0.25">
      <c r="A15" s="4" t="s">
        <v>30</v>
      </c>
      <c r="B15" s="4">
        <v>50</v>
      </c>
      <c r="C15" s="4" t="s">
        <v>4</v>
      </c>
      <c r="D15" s="44">
        <v>62.666666666666664</v>
      </c>
      <c r="E15" s="44">
        <v>77.666666666666671</v>
      </c>
      <c r="F15" s="44">
        <v>112</v>
      </c>
      <c r="G15" s="44">
        <v>140.33333333333334</v>
      </c>
      <c r="H15" s="44">
        <v>75.666666666666671</v>
      </c>
      <c r="I15" s="44">
        <v>94</v>
      </c>
      <c r="J15" s="44">
        <v>99.8888888888889</v>
      </c>
      <c r="K15" s="44">
        <v>124.8888888888889</v>
      </c>
      <c r="M15" s="4" t="s">
        <v>19</v>
      </c>
      <c r="N15" s="44">
        <v>135.33333333333334</v>
      </c>
      <c r="O15" s="44">
        <v>110.33333333333333</v>
      </c>
      <c r="P15" s="44">
        <v>83.666666666666671</v>
      </c>
      <c r="Q15" s="44">
        <v>65.666666666666671</v>
      </c>
    </row>
    <row r="16" spans="1:17" ht="15.75" customHeight="1" x14ac:dyDescent="0.25">
      <c r="A16" s="4" t="s">
        <v>149</v>
      </c>
      <c r="B16" s="4">
        <v>63</v>
      </c>
      <c r="C16" s="4" t="s">
        <v>4</v>
      </c>
      <c r="D16" s="44">
        <v>56.333333333333336</v>
      </c>
      <c r="E16" s="44">
        <v>55</v>
      </c>
      <c r="F16" s="44">
        <v>124</v>
      </c>
      <c r="G16" s="44">
        <v>118</v>
      </c>
      <c r="H16" s="44">
        <v>77.333333333333329</v>
      </c>
      <c r="I16" s="44">
        <v>74.666666666666671</v>
      </c>
      <c r="J16" s="44">
        <v>108.44444444444444</v>
      </c>
      <c r="K16" s="44">
        <v>103.55555555555556</v>
      </c>
      <c r="M16" s="21" t="s">
        <v>20</v>
      </c>
      <c r="O16" s="44"/>
    </row>
    <row r="17" spans="1:17" ht="15.75" customHeight="1" x14ac:dyDescent="0.25">
      <c r="A17" s="3" t="s">
        <v>33</v>
      </c>
      <c r="B17" s="8">
        <f>AVERAGE(B2:B16)</f>
        <v>55</v>
      </c>
      <c r="C17" s="8"/>
      <c r="D17" s="8">
        <f>AVERAGE(D2:D16)</f>
        <v>61.166666666666671</v>
      </c>
      <c r="E17" s="8">
        <f t="shared" ref="E17:K17" si="0">AVERAGE(E2:E16)</f>
        <v>65.857142857142861</v>
      </c>
      <c r="F17" s="6">
        <f t="shared" si="0"/>
        <v>126.21428571428574</v>
      </c>
      <c r="G17" s="6">
        <f t="shared" si="0"/>
        <v>130.78571428571428</v>
      </c>
      <c r="H17" s="6">
        <f t="shared" si="0"/>
        <v>79.88095238095238</v>
      </c>
      <c r="I17" s="6">
        <f t="shared" si="0"/>
        <v>81.261904761904773</v>
      </c>
      <c r="J17" s="8">
        <f t="shared" si="0"/>
        <v>110.76984126984125</v>
      </c>
      <c r="K17" s="8">
        <f t="shared" si="0"/>
        <v>114.27777777777779</v>
      </c>
      <c r="M17" s="4" t="s">
        <v>21</v>
      </c>
      <c r="N17" s="44">
        <v>115.33333333333333</v>
      </c>
      <c r="O17" s="44">
        <v>119.33333333333333</v>
      </c>
      <c r="P17" s="44">
        <v>79</v>
      </c>
      <c r="Q17" s="44">
        <v>83</v>
      </c>
    </row>
    <row r="18" spans="1:17" ht="15.75" customHeight="1" x14ac:dyDescent="0.25">
      <c r="A18" s="3" t="s">
        <v>34</v>
      </c>
      <c r="B18" s="8">
        <f>STDEV(B2:B16)</f>
        <v>8.2635170651311842</v>
      </c>
      <c r="C18" s="8"/>
      <c r="D18" s="8">
        <f t="shared" ref="D18:K18" si="1">STDEV(D2:D16)</f>
        <v>6.0549478249108954</v>
      </c>
      <c r="E18" s="8">
        <f t="shared" si="1"/>
        <v>8.719478426448692</v>
      </c>
      <c r="F18" s="6">
        <f t="shared" si="1"/>
        <v>12.98494008875933</v>
      </c>
      <c r="G18" s="6">
        <f t="shared" si="1"/>
        <v>16.974897073241127</v>
      </c>
      <c r="H18" s="6">
        <f t="shared" si="1"/>
        <v>5.8333071689627758</v>
      </c>
      <c r="I18" s="6">
        <f t="shared" si="1"/>
        <v>7.8980453834553837</v>
      </c>
      <c r="J18" s="8">
        <f t="shared" si="1"/>
        <v>10.045997184055919</v>
      </c>
      <c r="K18" s="8">
        <f t="shared" si="1"/>
        <v>13.506268109755851</v>
      </c>
      <c r="M18" s="4" t="s">
        <v>22</v>
      </c>
      <c r="N18" s="44">
        <v>159.33333333333334</v>
      </c>
      <c r="O18" s="44">
        <v>156</v>
      </c>
      <c r="P18" s="44">
        <v>104</v>
      </c>
      <c r="Q18" s="44">
        <v>101.66666666666667</v>
      </c>
    </row>
    <row r="19" spans="1:17" ht="15.75" customHeight="1" x14ac:dyDescent="0.25">
      <c r="A19" s="3" t="s">
        <v>160</v>
      </c>
      <c r="E19" s="156">
        <f>TTEST(D2:D16,E2:E16,2,1)</f>
        <v>1.9789003308174343E-2</v>
      </c>
      <c r="G19" s="149">
        <f>TTEST(F2:F16,G2:G16,2,1)</f>
        <v>0.25482257979927414</v>
      </c>
      <c r="I19" s="149">
        <f>TTEST(H2:H16,I2:I16,2,1)</f>
        <v>0.49866098615972021</v>
      </c>
      <c r="K19" s="149">
        <f>TTEST(J2:J16,K2:K16,2,1)</f>
        <v>0.28092782167869113</v>
      </c>
      <c r="M19" s="4" t="s">
        <v>23</v>
      </c>
      <c r="N19" s="44">
        <v>161</v>
      </c>
      <c r="O19" s="44">
        <v>137.66666666666666</v>
      </c>
      <c r="P19" s="44">
        <v>93</v>
      </c>
      <c r="Q19" s="44">
        <v>81.666666666666671</v>
      </c>
    </row>
    <row r="20" spans="1:17" ht="15.75" customHeight="1" x14ac:dyDescent="0.25">
      <c r="B20" s="4"/>
      <c r="C20" s="4"/>
      <c r="M20" s="4" t="s">
        <v>24</v>
      </c>
      <c r="N20" s="44">
        <v>135.66666666666666</v>
      </c>
      <c r="O20" s="44">
        <v>133.66666666666666</v>
      </c>
      <c r="P20" s="44">
        <v>83</v>
      </c>
      <c r="Q20" s="44">
        <v>83</v>
      </c>
    </row>
    <row r="21" spans="1:17" ht="15.75" customHeight="1" x14ac:dyDescent="0.25">
      <c r="A21" s="4" t="s">
        <v>44</v>
      </c>
      <c r="M21" s="4" t="s">
        <v>25</v>
      </c>
      <c r="N21" s="44">
        <v>151.33333333333334</v>
      </c>
      <c r="O21" s="44">
        <v>147.66666666666666</v>
      </c>
      <c r="P21" s="44">
        <v>91</v>
      </c>
      <c r="Q21" s="44">
        <v>90.666666666666671</v>
      </c>
    </row>
    <row r="22" spans="1:17" ht="15.75" customHeight="1" x14ac:dyDescent="0.25">
      <c r="A22" s="3" t="s">
        <v>0</v>
      </c>
      <c r="B22" s="3" t="s">
        <v>1</v>
      </c>
      <c r="C22" s="3" t="s">
        <v>2</v>
      </c>
      <c r="D22" s="3" t="s">
        <v>360</v>
      </c>
      <c r="E22" s="3" t="s">
        <v>363</v>
      </c>
      <c r="F22" s="3" t="s">
        <v>361</v>
      </c>
      <c r="G22" s="3" t="s">
        <v>364</v>
      </c>
      <c r="H22" s="3" t="s">
        <v>362</v>
      </c>
      <c r="I22" s="3" t="s">
        <v>365</v>
      </c>
      <c r="J22" s="3" t="s">
        <v>366</v>
      </c>
      <c r="K22" s="3" t="s">
        <v>367</v>
      </c>
      <c r="M22" s="4" t="s">
        <v>26</v>
      </c>
      <c r="N22" s="44">
        <v>113</v>
      </c>
      <c r="O22" s="44">
        <v>106.33333333333333</v>
      </c>
      <c r="P22" s="44">
        <v>80.666666666666671</v>
      </c>
      <c r="Q22" s="44">
        <v>77.666666666666671</v>
      </c>
    </row>
    <row r="23" spans="1:17" ht="15.75" customHeight="1" x14ac:dyDescent="0.25">
      <c r="A23" s="4" t="s">
        <v>5</v>
      </c>
      <c r="B23" s="4">
        <v>51</v>
      </c>
      <c r="C23" s="4" t="s">
        <v>6</v>
      </c>
      <c r="D23" s="44">
        <v>75.333333333333329</v>
      </c>
      <c r="E23" s="44">
        <v>82.333333333333329</v>
      </c>
      <c r="F23" s="44">
        <v>107.66666666666667</v>
      </c>
      <c r="G23" s="44">
        <v>105.66666666666667</v>
      </c>
      <c r="H23" s="44">
        <v>77</v>
      </c>
      <c r="I23" s="44">
        <v>77.333333333333329</v>
      </c>
      <c r="J23" s="44">
        <v>97.444444444444457</v>
      </c>
      <c r="K23" s="44">
        <v>96.222222222222229</v>
      </c>
      <c r="M23" s="4" t="s">
        <v>27</v>
      </c>
      <c r="N23" s="44">
        <v>132</v>
      </c>
      <c r="O23" s="44">
        <v>125.33333333333333</v>
      </c>
      <c r="P23" s="44">
        <v>83.666666666666671</v>
      </c>
      <c r="Q23" s="44">
        <v>83</v>
      </c>
    </row>
    <row r="24" spans="1:17" ht="15.75" customHeight="1" x14ac:dyDescent="0.25">
      <c r="A24" s="4" t="s">
        <v>14</v>
      </c>
      <c r="B24" s="4">
        <v>55</v>
      </c>
      <c r="C24" s="4" t="s">
        <v>6</v>
      </c>
      <c r="D24" s="44">
        <v>51.333333333333336</v>
      </c>
      <c r="E24" s="44">
        <v>59.333333333333336</v>
      </c>
      <c r="F24" s="44">
        <v>93.666666666666671</v>
      </c>
      <c r="G24" s="44">
        <v>102</v>
      </c>
      <c r="H24" s="44">
        <v>62.666666666666664</v>
      </c>
      <c r="I24" s="44">
        <v>62.333333333333336</v>
      </c>
      <c r="J24" s="44">
        <v>83.333333333333329</v>
      </c>
      <c r="K24" s="44">
        <v>88.777777777777771</v>
      </c>
      <c r="M24" s="4" t="s">
        <v>29</v>
      </c>
      <c r="N24" s="44">
        <v>111</v>
      </c>
      <c r="O24" s="44">
        <v>123</v>
      </c>
      <c r="P24" s="44">
        <v>73.333333333333329</v>
      </c>
      <c r="Q24" s="44">
        <v>77</v>
      </c>
    </row>
    <row r="25" spans="1:17" ht="15.75" customHeight="1" x14ac:dyDescent="0.25">
      <c r="A25" s="4" t="s">
        <v>19</v>
      </c>
      <c r="B25" s="4">
        <v>53</v>
      </c>
      <c r="C25" s="4" t="s">
        <v>6</v>
      </c>
      <c r="D25" s="44">
        <v>61.333333333333336</v>
      </c>
      <c r="E25" s="44">
        <v>57.333333333333336</v>
      </c>
      <c r="F25" s="44">
        <v>135.33333333333334</v>
      </c>
      <c r="G25" s="44">
        <v>110.33333333333333</v>
      </c>
      <c r="H25" s="44">
        <v>83.666666666666671</v>
      </c>
      <c r="I25" s="44">
        <v>65.666666666666671</v>
      </c>
      <c r="J25" s="44">
        <v>118.11111111111113</v>
      </c>
      <c r="K25" s="44">
        <v>95.444444444444443</v>
      </c>
      <c r="M25" s="21" t="s">
        <v>42</v>
      </c>
      <c r="O25" s="44"/>
    </row>
    <row r="26" spans="1:17" ht="15.75" customHeight="1" x14ac:dyDescent="0.25">
      <c r="A26" s="4" t="s">
        <v>22</v>
      </c>
      <c r="B26" s="4">
        <v>55</v>
      </c>
      <c r="C26" s="4" t="s">
        <v>6</v>
      </c>
      <c r="D26" s="44">
        <v>68.333333333333329</v>
      </c>
      <c r="E26" s="44">
        <v>153</v>
      </c>
      <c r="F26" s="44">
        <v>159.33333333333334</v>
      </c>
      <c r="G26" s="44">
        <v>156</v>
      </c>
      <c r="H26" s="44">
        <v>104</v>
      </c>
      <c r="I26" s="44">
        <v>101.66666666666667</v>
      </c>
      <c r="J26" s="44">
        <v>140.88888888888889</v>
      </c>
      <c r="K26" s="44">
        <v>137.88888888888889</v>
      </c>
      <c r="M26" s="4" t="s">
        <v>28</v>
      </c>
      <c r="N26" s="44">
        <v>128</v>
      </c>
      <c r="O26" s="44">
        <v>128</v>
      </c>
      <c r="P26" s="44">
        <v>83.333333333333329</v>
      </c>
      <c r="Q26" s="44">
        <v>83.333333333333329</v>
      </c>
    </row>
    <row r="27" spans="1:17" ht="15.75" customHeight="1" x14ac:dyDescent="0.25">
      <c r="A27" s="4" t="s">
        <v>26</v>
      </c>
      <c r="B27" s="4">
        <v>54</v>
      </c>
      <c r="C27" s="4" t="s">
        <v>6</v>
      </c>
      <c r="D27" s="44">
        <v>59.666666666666664</v>
      </c>
      <c r="E27" s="44">
        <v>61.666666666666664</v>
      </c>
      <c r="F27" s="44">
        <v>113</v>
      </c>
      <c r="G27" s="44">
        <v>106.33333333333333</v>
      </c>
      <c r="H27" s="44">
        <v>80.666666666666671</v>
      </c>
      <c r="I27" s="44">
        <v>77.666666666666671</v>
      </c>
      <c r="J27" s="44">
        <v>102.22222222222223</v>
      </c>
      <c r="K27" s="44">
        <v>96.777777777777771</v>
      </c>
      <c r="M27" s="4" t="s">
        <v>30</v>
      </c>
      <c r="N27" s="44">
        <v>112</v>
      </c>
      <c r="O27" s="44">
        <v>140.33333333333334</v>
      </c>
      <c r="P27" s="44">
        <v>75.666666666666671</v>
      </c>
      <c r="Q27" s="44">
        <v>94</v>
      </c>
    </row>
    <row r="28" spans="1:17" ht="15.75" customHeight="1" x14ac:dyDescent="0.25">
      <c r="A28" s="21" t="s">
        <v>42</v>
      </c>
      <c r="B28" s="21">
        <v>59</v>
      </c>
      <c r="C28" s="21" t="s">
        <v>6</v>
      </c>
      <c r="M28" s="4" t="s">
        <v>31</v>
      </c>
      <c r="N28" s="44">
        <v>113.33333333333333</v>
      </c>
      <c r="O28" s="44">
        <v>123.33333333333333</v>
      </c>
      <c r="P28" s="44">
        <v>86.333333333333329</v>
      </c>
      <c r="Q28" s="44">
        <v>77.333333333333329</v>
      </c>
    </row>
    <row r="29" spans="1:17" ht="15.75" customHeight="1" x14ac:dyDescent="0.25">
      <c r="A29" s="4" t="s">
        <v>28</v>
      </c>
      <c r="B29" s="4">
        <v>70</v>
      </c>
      <c r="C29" s="4" t="s">
        <v>6</v>
      </c>
      <c r="D29" s="44">
        <v>54</v>
      </c>
      <c r="E29" s="44">
        <v>54</v>
      </c>
      <c r="F29" s="44">
        <v>128</v>
      </c>
      <c r="G29" s="44">
        <v>128</v>
      </c>
      <c r="H29" s="44">
        <v>83.333333333333329</v>
      </c>
      <c r="I29" s="44">
        <v>83.333333333333329</v>
      </c>
      <c r="J29" s="44">
        <v>113.1111111111111</v>
      </c>
      <c r="K29" s="44">
        <v>113.1111111111111</v>
      </c>
      <c r="M29" s="4" t="s">
        <v>32</v>
      </c>
      <c r="N29" s="44">
        <v>122</v>
      </c>
      <c r="O29" s="44">
        <v>118.33333333333333</v>
      </c>
      <c r="P29" s="44">
        <v>71.666666666666671</v>
      </c>
      <c r="Q29" s="44">
        <v>68.333333333333329</v>
      </c>
    </row>
    <row r="30" spans="1:17" ht="15.75" customHeight="1" x14ac:dyDescent="0.25">
      <c r="A30" s="4" t="s">
        <v>150</v>
      </c>
      <c r="B30" s="4">
        <v>60</v>
      </c>
      <c r="C30" s="4" t="s">
        <v>6</v>
      </c>
      <c r="D30" s="44">
        <v>62</v>
      </c>
      <c r="E30" s="44">
        <v>58.666666666666664</v>
      </c>
      <c r="F30" s="44">
        <v>143</v>
      </c>
      <c r="G30" s="44">
        <v>163</v>
      </c>
      <c r="H30" s="44">
        <v>93</v>
      </c>
      <c r="I30" s="44">
        <v>96</v>
      </c>
      <c r="J30" s="44">
        <v>126.33333333333333</v>
      </c>
      <c r="K30" s="44">
        <v>140.66666666666666</v>
      </c>
      <c r="M30" s="4" t="s">
        <v>149</v>
      </c>
      <c r="N30" s="44">
        <v>124</v>
      </c>
      <c r="O30" s="44">
        <v>118</v>
      </c>
      <c r="P30" s="44">
        <v>77.333333333333329</v>
      </c>
      <c r="Q30" s="44">
        <v>74.666666666666671</v>
      </c>
    </row>
    <row r="31" spans="1:17" ht="15.75" customHeight="1" x14ac:dyDescent="0.25">
      <c r="A31" s="4" t="s">
        <v>3</v>
      </c>
      <c r="B31" s="4">
        <v>45</v>
      </c>
      <c r="C31" s="4" t="s">
        <v>4</v>
      </c>
      <c r="D31" s="44">
        <v>66.666666666666671</v>
      </c>
      <c r="E31" s="44">
        <v>66.666666666666671</v>
      </c>
      <c r="F31" s="44">
        <v>124.33333333333333</v>
      </c>
      <c r="G31" s="44">
        <v>122</v>
      </c>
      <c r="H31" s="44">
        <v>74.666666666666671</v>
      </c>
      <c r="I31" s="44">
        <v>78.333333333333329</v>
      </c>
      <c r="J31" s="44">
        <v>107.77777777777777</v>
      </c>
      <c r="K31" s="44">
        <v>107.44444444444444</v>
      </c>
      <c r="M31" s="4" t="s">
        <v>150</v>
      </c>
      <c r="N31" s="44">
        <v>143</v>
      </c>
      <c r="O31" s="44">
        <v>163</v>
      </c>
      <c r="P31" s="44">
        <v>93</v>
      </c>
      <c r="Q31" s="44">
        <v>96</v>
      </c>
    </row>
    <row r="32" spans="1:17" ht="15.75" customHeight="1" x14ac:dyDescent="0.25">
      <c r="A32" s="4" t="s">
        <v>9</v>
      </c>
      <c r="B32" s="4">
        <v>56</v>
      </c>
      <c r="C32" s="4" t="s">
        <v>4</v>
      </c>
      <c r="D32" s="155">
        <v>73</v>
      </c>
      <c r="E32" s="44">
        <v>75.666666666666671</v>
      </c>
      <c r="F32" s="44">
        <v>125.66666666666667</v>
      </c>
      <c r="G32" s="44">
        <v>149.33333333333334</v>
      </c>
      <c r="H32" s="155">
        <v>93.666666666666671</v>
      </c>
      <c r="I32" s="44">
        <v>109.33333333333333</v>
      </c>
      <c r="J32" s="44">
        <v>115</v>
      </c>
      <c r="K32" s="44">
        <v>136</v>
      </c>
    </row>
    <row r="33" spans="1:17" ht="15.75" customHeight="1" x14ac:dyDescent="0.25">
      <c r="A33" s="4" t="s">
        <v>11</v>
      </c>
      <c r="B33" s="4">
        <v>53</v>
      </c>
      <c r="C33" s="4" t="s">
        <v>4</v>
      </c>
      <c r="D33" s="44">
        <v>63.333333333333336</v>
      </c>
      <c r="E33" s="44">
        <v>66.666666666666671</v>
      </c>
      <c r="F33" s="44">
        <v>130</v>
      </c>
      <c r="G33" s="44">
        <v>135.66666666666666</v>
      </c>
      <c r="H33" s="44">
        <v>78.333333333333329</v>
      </c>
      <c r="I33" s="44">
        <v>83</v>
      </c>
      <c r="J33" s="44">
        <v>112.77777777777777</v>
      </c>
      <c r="K33" s="44">
        <v>118.1111111111111</v>
      </c>
    </row>
    <row r="34" spans="1:17" ht="15.75" customHeight="1" x14ac:dyDescent="0.25">
      <c r="A34" s="4" t="s">
        <v>12</v>
      </c>
      <c r="B34" s="4">
        <v>46</v>
      </c>
      <c r="C34" s="4" t="s">
        <v>4</v>
      </c>
      <c r="D34" s="44">
        <v>65.333333333333329</v>
      </c>
      <c r="E34" s="44">
        <v>78.333333333333329</v>
      </c>
      <c r="F34" s="44">
        <v>131.66666666666666</v>
      </c>
      <c r="G34" s="44">
        <v>133</v>
      </c>
      <c r="H34" s="44">
        <v>86.333333333333329</v>
      </c>
      <c r="I34" s="44">
        <v>86.666666666666671</v>
      </c>
      <c r="J34" s="44">
        <v>116.55555555555554</v>
      </c>
      <c r="K34" s="44">
        <v>117.55555555555556</v>
      </c>
    </row>
    <row r="35" spans="1:17" ht="15.75" customHeight="1" x14ac:dyDescent="0.25">
      <c r="A35" s="4" t="s">
        <v>23</v>
      </c>
      <c r="B35" s="4">
        <v>60</v>
      </c>
      <c r="C35" s="4" t="s">
        <v>4</v>
      </c>
      <c r="D35" s="44">
        <v>64</v>
      </c>
      <c r="E35" s="44">
        <v>63.666666666666664</v>
      </c>
      <c r="F35" s="44">
        <v>160.66666666666666</v>
      </c>
      <c r="G35" s="44">
        <v>137.66666666666666</v>
      </c>
      <c r="H35" s="44">
        <v>93</v>
      </c>
      <c r="I35" s="44">
        <v>81.666666666666671</v>
      </c>
      <c r="J35" s="44">
        <v>138.11111111111111</v>
      </c>
      <c r="K35" s="44">
        <v>119</v>
      </c>
    </row>
    <row r="36" spans="1:17" ht="15.75" customHeight="1" x14ac:dyDescent="0.25">
      <c r="A36" s="4" t="s">
        <v>27</v>
      </c>
      <c r="B36" s="4">
        <v>63</v>
      </c>
      <c r="C36" s="4" t="s">
        <v>4</v>
      </c>
      <c r="D36" s="44">
        <v>70.333333333333329</v>
      </c>
      <c r="E36" s="44">
        <v>70</v>
      </c>
      <c r="F36" s="44">
        <v>132</v>
      </c>
      <c r="G36" s="44">
        <v>125.33333333333333</v>
      </c>
      <c r="H36" s="44">
        <v>83.666666666666671</v>
      </c>
      <c r="I36" s="44">
        <v>83</v>
      </c>
      <c r="J36" s="44">
        <v>115.8888888888889</v>
      </c>
      <c r="K36" s="44">
        <v>111.22222222222221</v>
      </c>
    </row>
    <row r="37" spans="1:17" ht="15.75" customHeight="1" x14ac:dyDescent="0.25">
      <c r="A37" s="4" t="s">
        <v>29</v>
      </c>
      <c r="B37" s="4">
        <v>60</v>
      </c>
      <c r="C37" s="4" t="s">
        <v>4</v>
      </c>
      <c r="D37" s="44">
        <v>72.666666666666671</v>
      </c>
      <c r="E37" s="44">
        <v>70.333333333333329</v>
      </c>
      <c r="F37" s="44">
        <v>111</v>
      </c>
      <c r="G37" s="44">
        <v>123</v>
      </c>
      <c r="H37" s="44">
        <v>73.333333333333329</v>
      </c>
      <c r="I37" s="44">
        <v>77</v>
      </c>
      <c r="J37" s="44">
        <v>98.444444444444443</v>
      </c>
      <c r="K37" s="44">
        <v>107.66666666666667</v>
      </c>
    </row>
    <row r="38" spans="1:17" ht="15.75" customHeight="1" x14ac:dyDescent="0.25">
      <c r="A38" s="3" t="s">
        <v>33</v>
      </c>
      <c r="B38" s="8">
        <f>AVERAGE(B23:B37)</f>
        <v>56</v>
      </c>
      <c r="C38" s="8"/>
      <c r="D38" s="8">
        <f>AVERAGE(D23:D37)</f>
        <v>64.809523809523824</v>
      </c>
      <c r="E38" s="8">
        <f t="shared" ref="E38" si="2">AVERAGE(E23:E37)</f>
        <v>72.69047619047619</v>
      </c>
      <c r="F38" s="6">
        <f t="shared" ref="F38" si="3">AVERAGE(F23:F37)</f>
        <v>128.23809523809524</v>
      </c>
      <c r="G38" s="6">
        <f t="shared" ref="G38" si="4">AVERAGE(G23:G37)</f>
        <v>128.38095238095238</v>
      </c>
      <c r="H38" s="6">
        <f t="shared" ref="H38" si="5">AVERAGE(H23:H37)</f>
        <v>83.38095238095238</v>
      </c>
      <c r="I38" s="8">
        <f t="shared" ref="I38" si="6">AVERAGE(I23:I37)</f>
        <v>83.071428571428569</v>
      </c>
      <c r="J38" s="8">
        <f t="shared" ref="J38" si="7">AVERAGE(J23:J37)</f>
        <v>113.28571428571429</v>
      </c>
      <c r="K38" s="8">
        <f t="shared" ref="K38" si="8">AVERAGE(K23:K37)</f>
        <v>113.27777777777779</v>
      </c>
      <c r="N38" s="6"/>
      <c r="P38" s="8"/>
      <c r="Q38" s="8"/>
    </row>
    <row r="39" spans="1:17" ht="15.75" customHeight="1" x14ac:dyDescent="0.25">
      <c r="A39" s="3" t="s">
        <v>34</v>
      </c>
      <c r="B39" s="8">
        <f>STDEV(B23:B37)</f>
        <v>6.3919592346277412</v>
      </c>
      <c r="C39" s="8"/>
      <c r="D39" s="8">
        <f t="shared" ref="D39:K39" si="9">STDEV(D23:D37)</f>
        <v>6.9831473394411914</v>
      </c>
      <c r="E39" s="8">
        <f t="shared" si="9"/>
        <v>24.544905397095782</v>
      </c>
      <c r="F39" s="6">
        <f t="shared" si="9"/>
        <v>18.575063042503125</v>
      </c>
      <c r="G39" s="6">
        <f t="shared" si="9"/>
        <v>18.940688866820363</v>
      </c>
      <c r="H39" s="6">
        <f t="shared" si="9"/>
        <v>10.393832114852861</v>
      </c>
      <c r="I39" s="8">
        <f t="shared" si="9"/>
        <v>12.624882886097049</v>
      </c>
      <c r="J39" s="8">
        <f t="shared" si="9"/>
        <v>15.475908077946935</v>
      </c>
      <c r="K39" s="8">
        <f t="shared" si="9"/>
        <v>16.402970916598878</v>
      </c>
      <c r="N39" s="6"/>
      <c r="P39" s="8"/>
      <c r="Q39" s="8"/>
    </row>
    <row r="40" spans="1:17" ht="15.75" customHeight="1" x14ac:dyDescent="0.25">
      <c r="A40" s="3" t="s">
        <v>160</v>
      </c>
      <c r="E40" s="149">
        <f>TTEST(D23:D37,E23:E37,2,1)</f>
        <v>0.21446718333641007</v>
      </c>
      <c r="G40" s="149">
        <f>TTEST(F23:F37,G23:G37,2,1)</f>
        <v>0.96966001185021866</v>
      </c>
      <c r="I40" s="149">
        <f>TTEST(H23:H37,I23:I37,2,1)</f>
        <v>0.88265161610869569</v>
      </c>
      <c r="K40" s="149">
        <f>TTEST(J23:J37,K23:K37,2,1)</f>
        <v>0.9979861124785453</v>
      </c>
      <c r="Q40" s="149"/>
    </row>
    <row r="41" spans="1:17" ht="15.75" customHeight="1" x14ac:dyDescent="0.25">
      <c r="A41" s="38" t="s">
        <v>428</v>
      </c>
      <c r="F41" s="40">
        <f>TTEST(F2:F16,F23:F37,2,1)</f>
        <v>0.596395116806127</v>
      </c>
      <c r="H41" s="40">
        <f>TTEST(H2:H16,H23:H37,2,1)</f>
        <v>0.21782352394821311</v>
      </c>
    </row>
    <row r="45" spans="1:17" ht="15.75" customHeight="1" x14ac:dyDescent="0.25">
      <c r="B45" s="38" t="s">
        <v>0</v>
      </c>
      <c r="C45" s="4" t="s">
        <v>361</v>
      </c>
      <c r="D45" s="4" t="s">
        <v>362</v>
      </c>
    </row>
    <row r="46" spans="1:17" ht="15.75" customHeight="1" x14ac:dyDescent="0.25">
      <c r="B46" s="38" t="s">
        <v>23</v>
      </c>
      <c r="C46" s="44">
        <v>161</v>
      </c>
      <c r="D46" s="44">
        <v>93</v>
      </c>
      <c r="E46" s="4">
        <v>2</v>
      </c>
      <c r="F46" s="38" t="s">
        <v>453</v>
      </c>
    </row>
    <row r="47" spans="1:17" ht="15.75" customHeight="1" x14ac:dyDescent="0.25">
      <c r="B47" s="38" t="s">
        <v>22</v>
      </c>
      <c r="C47" s="44">
        <v>159.33333333333334</v>
      </c>
      <c r="D47" s="44">
        <v>104</v>
      </c>
      <c r="E47" s="4">
        <v>2</v>
      </c>
      <c r="F47" s="38" t="s">
        <v>453</v>
      </c>
    </row>
    <row r="48" spans="1:17" ht="15.75" customHeight="1" x14ac:dyDescent="0.25">
      <c r="B48" s="38" t="s">
        <v>25</v>
      </c>
      <c r="C48" s="44">
        <v>151.33333333333334</v>
      </c>
      <c r="D48" s="44">
        <v>91</v>
      </c>
      <c r="E48" s="4">
        <v>2</v>
      </c>
      <c r="F48" s="38" t="s">
        <v>454</v>
      </c>
    </row>
    <row r="49" spans="2:6" ht="15.75" customHeight="1" x14ac:dyDescent="0.25">
      <c r="B49" s="38" t="s">
        <v>150</v>
      </c>
      <c r="C49" s="4">
        <v>143</v>
      </c>
      <c r="D49" s="44">
        <v>93</v>
      </c>
      <c r="E49" s="4">
        <v>2</v>
      </c>
      <c r="F49" s="38" t="s">
        <v>453</v>
      </c>
    </row>
    <row r="50" spans="2:6" ht="15.75" customHeight="1" x14ac:dyDescent="0.25">
      <c r="B50" s="38" t="s">
        <v>17</v>
      </c>
      <c r="C50" s="44">
        <v>142</v>
      </c>
      <c r="D50" s="44">
        <v>86.333333333333329</v>
      </c>
      <c r="E50" s="4">
        <v>2</v>
      </c>
      <c r="F50" s="38" t="s">
        <v>454</v>
      </c>
    </row>
    <row r="51" spans="2:6" ht="15.75" customHeight="1" x14ac:dyDescent="0.25">
      <c r="B51" s="38" t="s">
        <v>10</v>
      </c>
      <c r="C51" s="44">
        <v>139.66666666666666</v>
      </c>
      <c r="D51" s="44">
        <v>78.333333333333329</v>
      </c>
      <c r="E51" s="4">
        <v>2</v>
      </c>
      <c r="F51" s="38" t="s">
        <v>454</v>
      </c>
    </row>
    <row r="52" spans="2:6" ht="15.75" customHeight="1" x14ac:dyDescent="0.25">
      <c r="B52" s="38" t="s">
        <v>24</v>
      </c>
      <c r="C52" s="44">
        <v>135.66666666666666</v>
      </c>
      <c r="D52" s="44">
        <v>83</v>
      </c>
      <c r="E52" s="4">
        <v>1</v>
      </c>
      <c r="F52" s="38" t="s">
        <v>454</v>
      </c>
    </row>
    <row r="53" spans="2:6" ht="15.75" customHeight="1" x14ac:dyDescent="0.25">
      <c r="B53" s="38" t="s">
        <v>19</v>
      </c>
      <c r="C53" s="44">
        <v>135.33333333333334</v>
      </c>
      <c r="D53" s="44">
        <v>83.666666666666671</v>
      </c>
      <c r="E53" s="4">
        <v>1</v>
      </c>
      <c r="F53" s="38" t="s">
        <v>453</v>
      </c>
    </row>
    <row r="54" spans="2:6" ht="15.75" customHeight="1" x14ac:dyDescent="0.25">
      <c r="B54" s="38" t="s">
        <v>13</v>
      </c>
      <c r="C54" s="44">
        <v>135</v>
      </c>
      <c r="D54" s="44">
        <v>83.666666666666671</v>
      </c>
      <c r="E54" s="4">
        <v>1</v>
      </c>
      <c r="F54" s="38" t="s">
        <v>454</v>
      </c>
    </row>
    <row r="55" spans="2:6" ht="15.75" customHeight="1" x14ac:dyDescent="0.25">
      <c r="B55" s="38" t="s">
        <v>8</v>
      </c>
      <c r="C55" s="44">
        <v>132</v>
      </c>
      <c r="D55" s="44">
        <v>80.666666666666671</v>
      </c>
      <c r="E55" s="4">
        <v>1</v>
      </c>
      <c r="F55" s="38" t="s">
        <v>454</v>
      </c>
    </row>
    <row r="56" spans="2:6" ht="15.75" customHeight="1" x14ac:dyDescent="0.25">
      <c r="B56" s="38" t="s">
        <v>27</v>
      </c>
      <c r="C56" s="44">
        <v>132</v>
      </c>
      <c r="D56" s="44">
        <v>83.666666666666671</v>
      </c>
      <c r="E56" s="4">
        <v>1</v>
      </c>
      <c r="F56" s="38" t="s">
        <v>453</v>
      </c>
    </row>
    <row r="57" spans="2:6" ht="15.75" customHeight="1" x14ac:dyDescent="0.25">
      <c r="B57" s="38" t="s">
        <v>12</v>
      </c>
      <c r="C57" s="44">
        <v>131.66666666666666</v>
      </c>
      <c r="D57" s="44">
        <v>86.333333333333329</v>
      </c>
      <c r="E57" s="4">
        <v>1</v>
      </c>
      <c r="F57" s="38" t="s">
        <v>453</v>
      </c>
    </row>
    <row r="58" spans="2:6" ht="15.75" customHeight="1" x14ac:dyDescent="0.25">
      <c r="B58" s="38" t="s">
        <v>11</v>
      </c>
      <c r="C58" s="44">
        <v>130</v>
      </c>
      <c r="D58" s="44">
        <v>78.333333333333329</v>
      </c>
      <c r="E58" s="4">
        <v>1</v>
      </c>
      <c r="F58" s="38" t="s">
        <v>453</v>
      </c>
    </row>
    <row r="59" spans="2:6" ht="15.75" customHeight="1" x14ac:dyDescent="0.25">
      <c r="B59" s="38" t="s">
        <v>28</v>
      </c>
      <c r="C59" s="44">
        <v>128</v>
      </c>
      <c r="D59" s="44">
        <v>83.333333333333329</v>
      </c>
      <c r="E59" s="4"/>
    </row>
    <row r="60" spans="2:6" ht="15.75" customHeight="1" x14ac:dyDescent="0.25">
      <c r="B60" s="38" t="s">
        <v>9</v>
      </c>
      <c r="C60" s="44">
        <v>125.66666666666667</v>
      </c>
      <c r="D60" s="44">
        <v>93.666666666666671</v>
      </c>
      <c r="E60" s="4">
        <v>2</v>
      </c>
      <c r="F60" s="38" t="s">
        <v>453</v>
      </c>
    </row>
    <row r="61" spans="2:6" ht="15.75" customHeight="1" x14ac:dyDescent="0.25">
      <c r="B61" s="38" t="s">
        <v>3</v>
      </c>
      <c r="C61" s="44">
        <v>124.33333333333333</v>
      </c>
      <c r="D61" s="44">
        <v>74.666666666666671</v>
      </c>
      <c r="E61" s="4"/>
    </row>
    <row r="62" spans="2:6" ht="15.75" customHeight="1" x14ac:dyDescent="0.25">
      <c r="B62" s="38" t="s">
        <v>149</v>
      </c>
      <c r="C62" s="4">
        <v>124</v>
      </c>
      <c r="D62" s="44">
        <v>77.333333333333329</v>
      </c>
      <c r="E62" s="4"/>
    </row>
    <row r="63" spans="2:6" ht="15.75" customHeight="1" x14ac:dyDescent="0.25">
      <c r="B63" s="38" t="s">
        <v>32</v>
      </c>
      <c r="C63" s="4">
        <v>122</v>
      </c>
      <c r="D63" s="44">
        <v>71.666666666666671</v>
      </c>
      <c r="E63" s="4"/>
    </row>
    <row r="64" spans="2:6" ht="15.75" customHeight="1" x14ac:dyDescent="0.25">
      <c r="B64" s="38" t="s">
        <v>18</v>
      </c>
      <c r="C64" s="44">
        <v>119.66666666666667</v>
      </c>
      <c r="D64" s="44">
        <v>80.333333333333329</v>
      </c>
      <c r="E64" s="4">
        <v>1</v>
      </c>
      <c r="F64" s="38" t="s">
        <v>454</v>
      </c>
    </row>
    <row r="65" spans="2:6" ht="15.75" customHeight="1" x14ac:dyDescent="0.25">
      <c r="B65" s="38" t="s">
        <v>21</v>
      </c>
      <c r="C65" s="44">
        <v>115.33333333333333</v>
      </c>
      <c r="D65" s="44">
        <v>79</v>
      </c>
      <c r="E65" s="4"/>
    </row>
    <row r="66" spans="2:6" ht="15.75" customHeight="1" x14ac:dyDescent="0.25">
      <c r="B66" s="38" t="s">
        <v>16</v>
      </c>
      <c r="C66" s="44">
        <v>113.66666666666667</v>
      </c>
      <c r="D66" s="44">
        <v>70.666666666666671</v>
      </c>
      <c r="E66" s="4"/>
    </row>
    <row r="67" spans="2:6" ht="15.75" customHeight="1" x14ac:dyDescent="0.25">
      <c r="B67" s="38" t="s">
        <v>31</v>
      </c>
      <c r="C67" s="44">
        <v>113.33333333333333</v>
      </c>
      <c r="D67" s="44">
        <v>86.333333333333329</v>
      </c>
      <c r="E67" s="4">
        <v>1</v>
      </c>
      <c r="F67" s="38" t="s">
        <v>454</v>
      </c>
    </row>
    <row r="68" spans="2:6" ht="15.75" customHeight="1" x14ac:dyDescent="0.25">
      <c r="B68" s="38" t="s">
        <v>26</v>
      </c>
      <c r="C68" s="44">
        <v>113</v>
      </c>
      <c r="D68" s="44">
        <v>80.666666666666671</v>
      </c>
      <c r="E68" s="4"/>
    </row>
    <row r="69" spans="2:6" ht="15.75" customHeight="1" x14ac:dyDescent="0.25">
      <c r="B69" s="38" t="s">
        <v>30</v>
      </c>
      <c r="C69" s="44">
        <v>112</v>
      </c>
      <c r="D69" s="44">
        <v>75.666666666666671</v>
      </c>
      <c r="E69" s="4"/>
    </row>
    <row r="70" spans="2:6" ht="15.75" customHeight="1" x14ac:dyDescent="0.25">
      <c r="B70" s="38" t="s">
        <v>7</v>
      </c>
      <c r="C70" s="44">
        <v>111.33333333333333</v>
      </c>
      <c r="D70" s="44">
        <v>74.333333333333329</v>
      </c>
      <c r="E70" s="4"/>
    </row>
    <row r="71" spans="2:6" ht="15.75" customHeight="1" x14ac:dyDescent="0.25">
      <c r="B71" s="38" t="s">
        <v>29</v>
      </c>
      <c r="C71" s="44">
        <v>111</v>
      </c>
      <c r="D71" s="44">
        <v>73.333333333333329</v>
      </c>
      <c r="E71" s="4"/>
    </row>
    <row r="72" spans="2:6" ht="15.75" customHeight="1" x14ac:dyDescent="0.25">
      <c r="B72" s="38" t="s">
        <v>5</v>
      </c>
      <c r="C72" s="44">
        <v>107.66666666666667</v>
      </c>
      <c r="D72" s="44">
        <v>77</v>
      </c>
      <c r="E72" s="4"/>
    </row>
    <row r="73" spans="2:6" ht="15.75" customHeight="1" x14ac:dyDescent="0.25">
      <c r="B73" s="38" t="s">
        <v>14</v>
      </c>
      <c r="C73" s="44">
        <v>93.666666666666671</v>
      </c>
      <c r="D73" s="44">
        <v>62.666666666666664</v>
      </c>
      <c r="E73" s="4"/>
    </row>
  </sheetData>
  <sortState xmlns:xlrd2="http://schemas.microsoft.com/office/spreadsheetml/2017/richdata2" ref="B46:D73">
    <sortCondition descending="1" ref="C46:C73"/>
  </sortState>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0195D-A535-43B1-B39A-3882E632B3B9}">
  <dimension ref="A1:AD100"/>
  <sheetViews>
    <sheetView zoomScale="70" zoomScaleNormal="70" workbookViewId="0">
      <selection activeCell="L2" sqref="L2:O41"/>
    </sheetView>
  </sheetViews>
  <sheetFormatPr defaultRowHeight="15" x14ac:dyDescent="0.25"/>
  <cols>
    <col min="1" max="1" width="20.85546875" style="38" customWidth="1"/>
    <col min="2" max="2" width="11.85546875" style="38" customWidth="1"/>
    <col min="3" max="3" width="10.7109375" style="38" customWidth="1"/>
    <col min="4" max="7" width="34.28515625" style="38" customWidth="1"/>
    <col min="8" max="9" width="18.85546875" style="38" bestFit="1" customWidth="1"/>
    <col min="10" max="11" width="19.28515625" style="38" bestFit="1" customWidth="1"/>
    <col min="12" max="12" width="19" style="38" bestFit="1" customWidth="1"/>
    <col min="13" max="13" width="24.5703125" style="38" bestFit="1" customWidth="1"/>
    <col min="14" max="14" width="22.85546875" style="38" bestFit="1" customWidth="1"/>
    <col min="15" max="15" width="23.140625" style="38" bestFit="1" customWidth="1"/>
    <col min="16" max="16" width="9.140625" style="38"/>
    <col min="17" max="17" width="23.140625" style="38" customWidth="1"/>
    <col min="18" max="19" width="9.140625" style="38"/>
    <col min="20" max="20" width="19" style="38" bestFit="1" customWidth="1"/>
    <col min="21" max="21" width="18.42578125" style="38" bestFit="1" customWidth="1"/>
    <col min="22" max="25" width="18.42578125" style="38" customWidth="1"/>
    <col min="26" max="26" width="14.5703125" style="38" bestFit="1" customWidth="1"/>
    <col min="27" max="27" width="15.85546875" style="38" bestFit="1" customWidth="1"/>
    <col min="28" max="28" width="15.85546875" style="38" customWidth="1"/>
    <col min="29" max="29" width="14.85546875" style="38" bestFit="1" customWidth="1"/>
    <col min="30" max="30" width="16" style="38" bestFit="1" customWidth="1"/>
    <col min="31" max="16384" width="9.140625" style="38"/>
  </cols>
  <sheetData>
    <row r="1" spans="1:30" x14ac:dyDescent="0.25">
      <c r="A1" s="173" t="s">
        <v>43</v>
      </c>
      <c r="B1" s="193" t="s">
        <v>478</v>
      </c>
      <c r="C1" s="177"/>
      <c r="D1" s="178"/>
      <c r="E1" s="179"/>
      <c r="F1" s="179"/>
      <c r="G1" s="179"/>
      <c r="H1" s="179"/>
      <c r="I1" s="179"/>
      <c r="J1" s="179"/>
      <c r="K1" s="179"/>
      <c r="L1" s="179"/>
      <c r="M1" s="179"/>
      <c r="N1" s="179"/>
      <c r="O1" s="180"/>
      <c r="Q1" s="38" t="s">
        <v>396</v>
      </c>
      <c r="R1" s="3" t="s">
        <v>1</v>
      </c>
      <c r="S1" s="3" t="s">
        <v>2</v>
      </c>
      <c r="T1" s="158" t="s">
        <v>377</v>
      </c>
      <c r="U1" s="158" t="s">
        <v>379</v>
      </c>
      <c r="V1" s="158" t="s">
        <v>378</v>
      </c>
      <c r="W1" s="158" t="s">
        <v>380</v>
      </c>
      <c r="X1" s="158" t="s">
        <v>394</v>
      </c>
      <c r="Y1" s="158" t="s">
        <v>395</v>
      </c>
      <c r="Z1" s="3" t="s">
        <v>274</v>
      </c>
      <c r="AA1" s="3" t="s">
        <v>275</v>
      </c>
      <c r="AB1" s="158" t="s">
        <v>480</v>
      </c>
      <c r="AC1" s="3" t="s">
        <v>276</v>
      </c>
      <c r="AD1" s="3" t="s">
        <v>277</v>
      </c>
    </row>
    <row r="2" spans="1:30" x14ac:dyDescent="0.25">
      <c r="A2" s="124" t="s">
        <v>0</v>
      </c>
      <c r="B2" s="3" t="s">
        <v>1</v>
      </c>
      <c r="C2" s="3" t="s">
        <v>2</v>
      </c>
      <c r="D2" s="3" t="s">
        <v>369</v>
      </c>
      <c r="E2" s="3" t="s">
        <v>370</v>
      </c>
      <c r="F2" s="3" t="s">
        <v>371</v>
      </c>
      <c r="G2" s="3" t="s">
        <v>372</v>
      </c>
      <c r="H2" s="3" t="s">
        <v>373</v>
      </c>
      <c r="I2" s="3" t="s">
        <v>374</v>
      </c>
      <c r="J2" s="3" t="s">
        <v>375</v>
      </c>
      <c r="K2" s="3" t="s">
        <v>376</v>
      </c>
      <c r="L2" s="158" t="s">
        <v>377</v>
      </c>
      <c r="M2" s="158" t="s">
        <v>378</v>
      </c>
      <c r="N2" s="158" t="s">
        <v>379</v>
      </c>
      <c r="O2" s="181" t="s">
        <v>380</v>
      </c>
      <c r="Q2" s="4" t="s">
        <v>10</v>
      </c>
      <c r="R2" s="4">
        <v>59</v>
      </c>
      <c r="S2" s="4" t="s">
        <v>6</v>
      </c>
      <c r="T2" s="43">
        <v>3.7656903765690317</v>
      </c>
      <c r="U2" s="47">
        <v>6.7485735546999506E-2</v>
      </c>
      <c r="V2" s="43">
        <v>7.8313253012048127</v>
      </c>
      <c r="W2" s="47">
        <v>0.11526258768705576</v>
      </c>
      <c r="X2" s="47">
        <f>V2-T2</f>
        <v>4.0656349246357806</v>
      </c>
      <c r="Y2" s="47">
        <f>W2-U2</f>
        <v>4.7776852140056253E-2</v>
      </c>
      <c r="Z2" s="43">
        <v>18.53</v>
      </c>
      <c r="AA2" s="43">
        <v>23.15</v>
      </c>
      <c r="AB2" s="43">
        <f>AA2-Z2</f>
        <v>4.6199999999999974</v>
      </c>
      <c r="AC2" s="43"/>
      <c r="AD2" s="43"/>
    </row>
    <row r="3" spans="1:30" x14ac:dyDescent="0.25">
      <c r="A3" s="174" t="s">
        <v>10</v>
      </c>
      <c r="B3" s="4">
        <v>59</v>
      </c>
      <c r="C3" s="4" t="s">
        <v>6</v>
      </c>
      <c r="D3" s="43">
        <v>4.78</v>
      </c>
      <c r="E3" s="43">
        <v>4.9800000000000004</v>
      </c>
      <c r="F3" s="43">
        <v>4.96</v>
      </c>
      <c r="G3" s="43">
        <v>5.37</v>
      </c>
      <c r="H3" s="5">
        <v>62.417259119999997</v>
      </c>
      <c r="I3" s="5">
        <v>72.422128080000022</v>
      </c>
      <c r="J3" s="5">
        <v>722.54738754000005</v>
      </c>
      <c r="K3" s="5">
        <v>753.53778239999997</v>
      </c>
      <c r="L3" s="43">
        <v>3.7656903765690317</v>
      </c>
      <c r="M3" s="43">
        <v>7.8313253012048127</v>
      </c>
      <c r="N3" s="47">
        <v>6.7485735546999506E-2</v>
      </c>
      <c r="O3" s="182">
        <v>0.11526258768705576</v>
      </c>
      <c r="Q3" s="4" t="s">
        <v>18</v>
      </c>
      <c r="R3" s="4">
        <v>48</v>
      </c>
      <c r="S3" s="4" t="s">
        <v>6</v>
      </c>
      <c r="T3" s="43">
        <v>4.9999999999999902</v>
      </c>
      <c r="U3" s="47">
        <v>8.4848464372829516E-2</v>
      </c>
      <c r="V3" s="43">
        <v>8.6232980332828948</v>
      </c>
      <c r="W3" s="47">
        <v>0.11660886238965562</v>
      </c>
      <c r="X3" s="47">
        <f t="shared" ref="X3:Y30" si="0">V3-T3</f>
        <v>3.6232980332829046</v>
      </c>
      <c r="Y3" s="47">
        <f t="shared" si="0"/>
        <v>3.1760398016826105E-2</v>
      </c>
      <c r="Z3" s="43">
        <v>22.27</v>
      </c>
      <c r="AA3" s="43">
        <v>22.22</v>
      </c>
      <c r="AB3" s="43">
        <f t="shared" ref="AB3:AB31" si="1">AA3-Z3</f>
        <v>-5.0000000000000711E-2</v>
      </c>
      <c r="AC3" s="43">
        <v>10.85</v>
      </c>
      <c r="AD3" s="43">
        <v>10.029999999999999</v>
      </c>
    </row>
    <row r="4" spans="1:30" x14ac:dyDescent="0.25">
      <c r="A4" s="174" t="s">
        <v>18</v>
      </c>
      <c r="B4" s="4">
        <v>48</v>
      </c>
      <c r="C4" s="4" t="s">
        <v>6</v>
      </c>
      <c r="D4" s="43">
        <v>6.4</v>
      </c>
      <c r="E4" s="43">
        <v>6.61</v>
      </c>
      <c r="F4" s="43">
        <v>6.72</v>
      </c>
      <c r="G4" s="43">
        <v>7.18</v>
      </c>
      <c r="H4" s="5">
        <v>86.814719999999994</v>
      </c>
      <c r="I4" s="5">
        <v>102.8948955</v>
      </c>
      <c r="J4" s="5">
        <v>876.00727499999994</v>
      </c>
      <c r="K4" s="5">
        <v>1017.019000125</v>
      </c>
      <c r="L4" s="43">
        <v>4.9999999999999902</v>
      </c>
      <c r="M4" s="43">
        <v>8.6232980332828948</v>
      </c>
      <c r="N4" s="47">
        <v>8.4848464372829516E-2</v>
      </c>
      <c r="O4" s="182">
        <v>0.11660886238965562</v>
      </c>
      <c r="Q4" s="21" t="s">
        <v>20</v>
      </c>
      <c r="R4" s="21">
        <v>44</v>
      </c>
      <c r="S4" s="21" t="s">
        <v>6</v>
      </c>
      <c r="T4" s="183"/>
      <c r="U4" s="183"/>
      <c r="V4" s="183"/>
      <c r="W4" s="183"/>
      <c r="X4" s="183"/>
      <c r="Y4" s="183"/>
      <c r="Z4" s="183"/>
      <c r="AA4" s="183"/>
      <c r="AB4" s="183"/>
      <c r="AC4" s="183"/>
      <c r="AD4" s="183"/>
    </row>
    <row r="5" spans="1:30" x14ac:dyDescent="0.25">
      <c r="A5" s="175" t="s">
        <v>20</v>
      </c>
      <c r="B5" s="21">
        <v>44</v>
      </c>
      <c r="C5" s="21" t="s">
        <v>6</v>
      </c>
      <c r="D5" s="4"/>
      <c r="E5" s="4"/>
      <c r="F5" s="4"/>
      <c r="G5" s="4"/>
      <c r="H5" s="5"/>
      <c r="I5" s="5"/>
      <c r="J5" s="5"/>
      <c r="K5" s="5"/>
      <c r="L5" s="4"/>
      <c r="M5" s="4"/>
      <c r="N5" s="47"/>
      <c r="O5" s="182"/>
      <c r="Q5" s="4" t="s">
        <v>21</v>
      </c>
      <c r="R5" s="4">
        <v>63</v>
      </c>
      <c r="S5" s="4" t="s">
        <v>6</v>
      </c>
      <c r="T5" s="43">
        <v>3.8785834738617275</v>
      </c>
      <c r="U5" s="47">
        <v>7.6177396386378923E-2</v>
      </c>
      <c r="V5" s="43">
        <v>8.873720136518763</v>
      </c>
      <c r="W5" s="47">
        <v>0.13831764681832884</v>
      </c>
      <c r="X5" s="47">
        <f t="shared" si="0"/>
        <v>4.9951366626570355</v>
      </c>
      <c r="Y5" s="47">
        <f t="shared" si="0"/>
        <v>6.2140250431949914E-2</v>
      </c>
      <c r="Z5" s="184"/>
      <c r="AA5" s="43"/>
      <c r="AB5" s="43"/>
      <c r="AC5" s="43"/>
      <c r="AD5" s="43"/>
    </row>
    <row r="6" spans="1:30" x14ac:dyDescent="0.25">
      <c r="A6" s="174" t="s">
        <v>21</v>
      </c>
      <c r="B6" s="4">
        <v>63</v>
      </c>
      <c r="C6" s="4" t="s">
        <v>6</v>
      </c>
      <c r="D6" s="43">
        <v>5.93</v>
      </c>
      <c r="E6" s="43">
        <v>5.86</v>
      </c>
      <c r="F6" s="43">
        <v>6.16</v>
      </c>
      <c r="G6" s="43">
        <v>6.38</v>
      </c>
      <c r="H6" s="5">
        <v>69.563205180000011</v>
      </c>
      <c r="I6" s="5">
        <v>79.252362840000018</v>
      </c>
      <c r="J6" s="5">
        <v>672.53703225000015</v>
      </c>
      <c r="K6" s="5">
        <v>728.17551045000016</v>
      </c>
      <c r="L6" s="43">
        <v>3.8785834738617275</v>
      </c>
      <c r="M6" s="43">
        <v>8.873720136518763</v>
      </c>
      <c r="N6" s="47">
        <v>7.6177396386378923E-2</v>
      </c>
      <c r="O6" s="182">
        <v>0.13831764681832884</v>
      </c>
      <c r="Q6" s="4" t="s">
        <v>24</v>
      </c>
      <c r="R6" s="4">
        <v>54</v>
      </c>
      <c r="S6" s="4" t="s">
        <v>6</v>
      </c>
      <c r="T6" s="43">
        <v>2.4647887323943762</v>
      </c>
      <c r="U6" s="47">
        <v>3.9363481035249011E-2</v>
      </c>
      <c r="V6" s="43">
        <v>8.0645161290322598</v>
      </c>
      <c r="W6" s="47">
        <v>9.9125692000114257E-2</v>
      </c>
      <c r="X6" s="47">
        <f t="shared" si="0"/>
        <v>5.5997273966378831</v>
      </c>
      <c r="Y6" s="47">
        <f t="shared" si="0"/>
        <v>5.9762210964865246E-2</v>
      </c>
      <c r="Z6" s="43">
        <v>14.76</v>
      </c>
      <c r="AA6" s="43">
        <v>16.920000000000002</v>
      </c>
      <c r="AB6" s="43">
        <f t="shared" si="1"/>
        <v>2.1600000000000019</v>
      </c>
      <c r="AC6" s="43">
        <v>3.76</v>
      </c>
      <c r="AD6" s="43">
        <v>4.1500000000000004</v>
      </c>
    </row>
    <row r="7" spans="1:30" x14ac:dyDescent="0.25">
      <c r="A7" s="174" t="s">
        <v>24</v>
      </c>
      <c r="B7" s="4">
        <v>54</v>
      </c>
      <c r="C7" s="4" t="s">
        <v>6</v>
      </c>
      <c r="D7" s="43">
        <v>5.68</v>
      </c>
      <c r="E7" s="43">
        <v>5.58</v>
      </c>
      <c r="F7" s="43">
        <v>5.82</v>
      </c>
      <c r="G7" s="43">
        <v>6.03</v>
      </c>
      <c r="H7" s="5">
        <v>85.095306240000014</v>
      </c>
      <c r="I7" s="5">
        <v>96.790613040000011</v>
      </c>
      <c r="J7" s="5">
        <v>645.28241494500003</v>
      </c>
      <c r="K7" s="5">
        <v>844.90114728000003</v>
      </c>
      <c r="L7" s="43">
        <v>2.4647887323943762</v>
      </c>
      <c r="M7" s="43">
        <v>8.0645161290322598</v>
      </c>
      <c r="N7" s="47">
        <v>3.9363481035249011E-2</v>
      </c>
      <c r="O7" s="182">
        <v>9.9125692000114257E-2</v>
      </c>
      <c r="Q7" s="4" t="s">
        <v>25</v>
      </c>
      <c r="R7" s="4">
        <v>52</v>
      </c>
      <c r="S7" s="4" t="s">
        <v>6</v>
      </c>
      <c r="T7" s="43">
        <v>-1.1574074074074239</v>
      </c>
      <c r="U7" s="47">
        <v>-3.1169769598122198E-2</v>
      </c>
      <c r="V7" s="43">
        <v>3.3980582524271767</v>
      </c>
      <c r="W7" s="47">
        <v>7.1250619389669964E-2</v>
      </c>
      <c r="X7" s="47">
        <f t="shared" si="0"/>
        <v>4.5554656598346011</v>
      </c>
      <c r="Y7" s="47">
        <f t="shared" si="0"/>
        <v>0.10242038898779215</v>
      </c>
      <c r="Z7" s="43">
        <v>17.11</v>
      </c>
      <c r="AA7" s="43">
        <v>18.32</v>
      </c>
      <c r="AB7" s="43">
        <f t="shared" si="1"/>
        <v>1.2100000000000009</v>
      </c>
      <c r="AC7" s="43">
        <v>5.27</v>
      </c>
      <c r="AD7" s="43">
        <v>6.46</v>
      </c>
    </row>
    <row r="8" spans="1:30" x14ac:dyDescent="0.25">
      <c r="A8" s="174" t="s">
        <v>25</v>
      </c>
      <c r="B8" s="4">
        <v>52</v>
      </c>
      <c r="C8" s="4" t="s">
        <v>6</v>
      </c>
      <c r="D8" s="43">
        <v>4.32</v>
      </c>
      <c r="E8" s="43">
        <v>4.12</v>
      </c>
      <c r="F8" s="43">
        <v>4.2699999999999996</v>
      </c>
      <c r="G8" s="43">
        <v>4.26</v>
      </c>
      <c r="H8" s="5">
        <v>41.312954880000007</v>
      </c>
      <c r="I8" s="5">
        <v>46.37066592</v>
      </c>
      <c r="J8" s="5">
        <v>668.75662968749998</v>
      </c>
      <c r="K8" s="5">
        <v>717.62515968000025</v>
      </c>
      <c r="L8" s="43">
        <v>-1.1574074074074239</v>
      </c>
      <c r="M8" s="43">
        <v>3.3980582524271767</v>
      </c>
      <c r="N8" s="47">
        <v>-3.1169769598122198E-2</v>
      </c>
      <c r="O8" s="182">
        <v>7.1250619389669964E-2</v>
      </c>
      <c r="Q8" s="4" t="s">
        <v>31</v>
      </c>
      <c r="R8" s="4">
        <v>57</v>
      </c>
      <c r="S8" s="4" t="s">
        <v>6</v>
      </c>
      <c r="T8" s="43">
        <v>2.9220779220779174</v>
      </c>
      <c r="U8" s="47">
        <v>3.278263727433476E-2</v>
      </c>
      <c r="V8" s="43">
        <v>3.2948929159802187</v>
      </c>
      <c r="W8" s="47">
        <v>4.3962936513617927E-2</v>
      </c>
      <c r="X8" s="47">
        <f t="shared" si="0"/>
        <v>0.37281499390230133</v>
      </c>
      <c r="Y8" s="47">
        <f t="shared" si="0"/>
        <v>1.1180299239283167E-2</v>
      </c>
      <c r="Z8" s="43">
        <v>10.79</v>
      </c>
      <c r="AA8" s="43">
        <v>14.35</v>
      </c>
      <c r="AB8" s="43">
        <f t="shared" si="1"/>
        <v>3.5600000000000005</v>
      </c>
      <c r="AC8" s="43">
        <v>3.26</v>
      </c>
      <c r="AD8" s="43">
        <v>4</v>
      </c>
    </row>
    <row r="9" spans="1:30" x14ac:dyDescent="0.25">
      <c r="A9" s="174" t="s">
        <v>31</v>
      </c>
      <c r="B9" s="4">
        <v>57</v>
      </c>
      <c r="C9" s="4" t="s">
        <v>6</v>
      </c>
      <c r="D9" s="43">
        <v>6.16</v>
      </c>
      <c r="E9" s="43">
        <v>6.07</v>
      </c>
      <c r="F9" s="43">
        <v>6.34</v>
      </c>
      <c r="G9" s="43">
        <v>6.27</v>
      </c>
      <c r="H9" s="5">
        <v>128.68111872</v>
      </c>
      <c r="I9" s="5">
        <v>107.59447698000002</v>
      </c>
      <c r="J9" s="5">
        <v>1941.4394604000004</v>
      </c>
      <c r="K9" s="5">
        <v>1062.43048215</v>
      </c>
      <c r="L9" s="43">
        <v>2.9220779220779174</v>
      </c>
      <c r="M9" s="43">
        <v>3.2948929159802187</v>
      </c>
      <c r="N9" s="47">
        <v>3.278263727433476E-2</v>
      </c>
      <c r="O9" s="182">
        <v>4.3962936513617927E-2</v>
      </c>
      <c r="Q9" s="4" t="s">
        <v>32</v>
      </c>
      <c r="R9" s="4">
        <v>61</v>
      </c>
      <c r="S9" s="4" t="s">
        <v>6</v>
      </c>
      <c r="T9" s="43">
        <v>9.0573012939001885</v>
      </c>
      <c r="U9" s="47">
        <v>0.10129186956255576</v>
      </c>
      <c r="V9" s="43">
        <v>8.2266910420475359</v>
      </c>
      <c r="W9" s="47">
        <v>0.1007273100950199</v>
      </c>
      <c r="X9" s="47">
        <f t="shared" si="0"/>
        <v>-0.83061025185265258</v>
      </c>
      <c r="Y9" s="47">
        <f t="shared" si="0"/>
        <v>-5.6455946753586339E-4</v>
      </c>
      <c r="Z9" s="43">
        <v>15.71</v>
      </c>
      <c r="AA9" s="43">
        <v>16.96</v>
      </c>
      <c r="AB9" s="43">
        <f t="shared" si="1"/>
        <v>1.25</v>
      </c>
      <c r="AC9" s="43">
        <v>2.5099999999999998</v>
      </c>
      <c r="AD9" s="43">
        <v>2.57</v>
      </c>
    </row>
    <row r="10" spans="1:30" x14ac:dyDescent="0.25">
      <c r="A10" s="174" t="s">
        <v>32</v>
      </c>
      <c r="B10" s="4">
        <v>61</v>
      </c>
      <c r="C10" s="4" t="s">
        <v>6</v>
      </c>
      <c r="D10" s="43">
        <v>5.41</v>
      </c>
      <c r="E10" s="43">
        <v>5.47</v>
      </c>
      <c r="F10" s="43">
        <v>5.9</v>
      </c>
      <c r="G10" s="43">
        <v>5.92</v>
      </c>
      <c r="H10" s="5">
        <v>102.01103574000001</v>
      </c>
      <c r="I10" s="5">
        <v>95.830658519999986</v>
      </c>
      <c r="J10" s="5">
        <v>1472.7663322650001</v>
      </c>
      <c r="K10" s="5">
        <v>484.65491250000008</v>
      </c>
      <c r="L10" s="43">
        <v>9.0573012939001885</v>
      </c>
      <c r="M10" s="43">
        <v>8.2266910420475359</v>
      </c>
      <c r="N10" s="47">
        <v>0.10129186956255576</v>
      </c>
      <c r="O10" s="182">
        <v>0.1007273100950199</v>
      </c>
      <c r="Q10" s="4" t="s">
        <v>7</v>
      </c>
      <c r="R10" s="4">
        <v>42</v>
      </c>
      <c r="S10" s="4" t="s">
        <v>4</v>
      </c>
      <c r="T10" s="43">
        <v>2.4915062287655791</v>
      </c>
      <c r="U10" s="47">
        <v>2.7009979503872569E-2</v>
      </c>
      <c r="V10" s="43">
        <v>6.9662921348314519</v>
      </c>
      <c r="W10" s="47">
        <v>6.4518634397461222E-2</v>
      </c>
      <c r="X10" s="47">
        <f t="shared" si="0"/>
        <v>4.4747859060658728</v>
      </c>
      <c r="Y10" s="47">
        <f t="shared" si="0"/>
        <v>3.750865489358865E-2</v>
      </c>
      <c r="Z10" s="43">
        <v>21.91</v>
      </c>
      <c r="AA10" s="43">
        <v>26.13</v>
      </c>
      <c r="AB10" s="43">
        <f t="shared" si="1"/>
        <v>4.2199999999999989</v>
      </c>
      <c r="AC10" s="43">
        <v>7.7</v>
      </c>
      <c r="AD10" s="43">
        <v>8.66</v>
      </c>
    </row>
    <row r="11" spans="1:30" x14ac:dyDescent="0.25">
      <c r="A11" s="174" t="s">
        <v>7</v>
      </c>
      <c r="B11" s="4">
        <v>42</v>
      </c>
      <c r="C11" s="4" t="s">
        <v>4</v>
      </c>
      <c r="D11" s="43">
        <v>8.83</v>
      </c>
      <c r="E11" s="43">
        <v>8.9</v>
      </c>
      <c r="F11" s="43">
        <v>9.0500000000000007</v>
      </c>
      <c r="G11" s="43">
        <v>9.52</v>
      </c>
      <c r="H11" s="5">
        <v>194.63376507000001</v>
      </c>
      <c r="I11" s="5">
        <v>208.92429600000003</v>
      </c>
      <c r="J11" s="5">
        <v>2224.4713321499999</v>
      </c>
      <c r="K11" s="5">
        <v>1849.5487004999998</v>
      </c>
      <c r="L11" s="43">
        <v>2.4915062287655791</v>
      </c>
      <c r="M11" s="43">
        <v>6.9662921348314519</v>
      </c>
      <c r="N11" s="47">
        <v>2.7009979503872569E-2</v>
      </c>
      <c r="O11" s="182">
        <v>6.4518634397461222E-2</v>
      </c>
      <c r="Q11" s="4" t="s">
        <v>8</v>
      </c>
      <c r="R11" s="4">
        <v>55</v>
      </c>
      <c r="S11" s="4" t="s">
        <v>4</v>
      </c>
      <c r="T11" s="43">
        <v>5.8823529411764586</v>
      </c>
      <c r="U11" s="47">
        <v>5.221409807756229E-2</v>
      </c>
      <c r="V11" s="43">
        <v>11.225806451612893</v>
      </c>
      <c r="W11" s="47">
        <v>8.7934944291718109E-2</v>
      </c>
      <c r="X11" s="47">
        <f t="shared" si="0"/>
        <v>5.3434535104364347</v>
      </c>
      <c r="Y11" s="47">
        <f t="shared" si="0"/>
        <v>3.5720846214155819E-2</v>
      </c>
      <c r="Z11" s="43">
        <v>19.690000000000001</v>
      </c>
      <c r="AA11" s="43">
        <v>23.96</v>
      </c>
      <c r="AB11" s="43">
        <f t="shared" si="1"/>
        <v>4.2699999999999996</v>
      </c>
      <c r="AC11" s="43">
        <v>3.7</v>
      </c>
      <c r="AD11" s="43">
        <v>5.08</v>
      </c>
    </row>
    <row r="12" spans="1:30" x14ac:dyDescent="0.25">
      <c r="A12" s="174" t="s">
        <v>8</v>
      </c>
      <c r="B12" s="4">
        <v>55</v>
      </c>
      <c r="C12" s="4" t="s">
        <v>4</v>
      </c>
      <c r="D12" s="43">
        <v>7.82</v>
      </c>
      <c r="E12" s="43">
        <v>7.75</v>
      </c>
      <c r="F12" s="43">
        <v>8.2799999999999994</v>
      </c>
      <c r="G12" s="43">
        <v>8.6199999999999992</v>
      </c>
      <c r="H12" s="5">
        <v>195.85890672000002</v>
      </c>
      <c r="I12" s="5">
        <v>195.19711875000002</v>
      </c>
      <c r="J12" s="5">
        <v>1949.5143719999999</v>
      </c>
      <c r="K12" s="5">
        <v>1458.1890811350004</v>
      </c>
      <c r="L12" s="43">
        <v>5.8823529411764586</v>
      </c>
      <c r="M12" s="43">
        <v>11.225806451612893</v>
      </c>
      <c r="N12" s="47">
        <v>5.221409807756229E-2</v>
      </c>
      <c r="O12" s="182">
        <v>8.7934944291718109E-2</v>
      </c>
      <c r="Q12" s="4" t="s">
        <v>13</v>
      </c>
      <c r="R12" s="4">
        <v>44</v>
      </c>
      <c r="S12" s="4" t="s">
        <v>4</v>
      </c>
      <c r="T12" s="43">
        <v>4.9900199600798407</v>
      </c>
      <c r="U12" s="43">
        <v>0.1180111247001206</v>
      </c>
      <c r="V12" s="4"/>
      <c r="W12" s="47"/>
      <c r="X12" s="47"/>
      <c r="Y12" s="47"/>
      <c r="Z12" s="43">
        <v>25.95</v>
      </c>
      <c r="AA12" s="43">
        <v>27.73</v>
      </c>
      <c r="AB12" s="43">
        <f t="shared" si="1"/>
        <v>1.7800000000000011</v>
      </c>
      <c r="AC12" s="43">
        <v>8.35</v>
      </c>
      <c r="AD12" s="43">
        <v>10.49</v>
      </c>
    </row>
    <row r="13" spans="1:30" x14ac:dyDescent="0.25">
      <c r="A13" s="174" t="s">
        <v>13</v>
      </c>
      <c r="B13" s="4">
        <v>44</v>
      </c>
      <c r="C13" s="4" t="s">
        <v>4</v>
      </c>
      <c r="D13" s="4"/>
      <c r="E13" s="4"/>
      <c r="F13" s="4"/>
      <c r="G13" s="4"/>
      <c r="H13" s="5"/>
      <c r="I13" s="5"/>
      <c r="J13" s="5"/>
      <c r="K13" s="5"/>
      <c r="L13" s="4"/>
      <c r="M13" s="4"/>
      <c r="N13" s="47"/>
      <c r="O13" s="182"/>
      <c r="Q13" s="4" t="s">
        <v>16</v>
      </c>
      <c r="R13" s="4">
        <v>64</v>
      </c>
      <c r="S13" s="4" t="s">
        <v>4</v>
      </c>
      <c r="T13" s="43">
        <v>1.1594202898550736</v>
      </c>
      <c r="U13" s="47">
        <v>2.1399884980015643E-2</v>
      </c>
      <c r="V13" s="43">
        <v>7.4294205052005946</v>
      </c>
      <c r="W13" s="47">
        <v>0.13694859469385651</v>
      </c>
      <c r="X13" s="47">
        <f t="shared" si="0"/>
        <v>6.2700002153455205</v>
      </c>
      <c r="Y13" s="47">
        <f t="shared" si="0"/>
        <v>0.11554870971384086</v>
      </c>
      <c r="Z13" s="43">
        <v>19.87</v>
      </c>
      <c r="AA13" s="43">
        <v>20.63</v>
      </c>
      <c r="AB13" s="43">
        <f t="shared" si="1"/>
        <v>0.75999999999999801</v>
      </c>
      <c r="AC13" s="43">
        <v>6.32</v>
      </c>
      <c r="AD13" s="43">
        <v>7.44</v>
      </c>
    </row>
    <row r="14" spans="1:30" x14ac:dyDescent="0.25">
      <c r="A14" s="174" t="s">
        <v>16</v>
      </c>
      <c r="B14" s="4">
        <v>64</v>
      </c>
      <c r="C14" s="4" t="s">
        <v>4</v>
      </c>
      <c r="D14" s="43">
        <v>6.9</v>
      </c>
      <c r="E14" s="43">
        <v>6.73</v>
      </c>
      <c r="F14" s="43">
        <v>6.98</v>
      </c>
      <c r="G14" s="43">
        <v>7.23</v>
      </c>
      <c r="H14" s="5">
        <v>89.697240000000022</v>
      </c>
      <c r="I14" s="5">
        <v>78.931936829999998</v>
      </c>
      <c r="J14" s="5">
        <v>1732.9167432000002</v>
      </c>
      <c r="K14" s="5">
        <v>1106.5478860800001</v>
      </c>
      <c r="L14" s="43">
        <v>1.1594202898550736</v>
      </c>
      <c r="M14" s="43">
        <v>7.4294205052005946</v>
      </c>
      <c r="N14" s="47">
        <v>2.1399884980015643E-2</v>
      </c>
      <c r="O14" s="182">
        <v>0.13694859469385651</v>
      </c>
      <c r="Q14" s="4" t="s">
        <v>17</v>
      </c>
      <c r="R14" s="4">
        <v>69</v>
      </c>
      <c r="S14" s="4" t="s">
        <v>4</v>
      </c>
      <c r="T14" s="43">
        <v>3.4690799396681813</v>
      </c>
      <c r="U14" s="47">
        <v>5.4263868743016509E-2</v>
      </c>
      <c r="V14" s="43">
        <v>8.2089552238805936</v>
      </c>
      <c r="W14" s="47">
        <v>0.11102693671193342</v>
      </c>
      <c r="X14" s="47">
        <f t="shared" si="0"/>
        <v>4.7398752842124123</v>
      </c>
      <c r="Y14" s="47">
        <f t="shared" si="0"/>
        <v>5.6763067968916912E-2</v>
      </c>
      <c r="Z14" s="43">
        <v>22.87</v>
      </c>
      <c r="AA14" s="43">
        <v>28.82</v>
      </c>
      <c r="AB14" s="43">
        <f t="shared" si="1"/>
        <v>5.9499999999999993</v>
      </c>
      <c r="AC14" s="43">
        <v>4.9800000000000004</v>
      </c>
      <c r="AD14" s="43">
        <v>5.86</v>
      </c>
    </row>
    <row r="15" spans="1:30" x14ac:dyDescent="0.25">
      <c r="A15" s="174" t="s">
        <v>17</v>
      </c>
      <c r="B15" s="4">
        <v>69</v>
      </c>
      <c r="C15" s="4" t="s">
        <v>4</v>
      </c>
      <c r="D15" s="43">
        <v>6.63</v>
      </c>
      <c r="E15" s="43">
        <v>6.7</v>
      </c>
      <c r="F15" s="43">
        <v>6.86</v>
      </c>
      <c r="G15" s="43">
        <v>7.25</v>
      </c>
      <c r="H15" s="5">
        <v>99.377759519999998</v>
      </c>
      <c r="I15" s="5">
        <v>105.71595000000001</v>
      </c>
      <c r="J15" s="5">
        <v>1525.8071355300001</v>
      </c>
      <c r="K15" s="5">
        <v>1586.49676875</v>
      </c>
      <c r="L15" s="43">
        <v>3.4690799396681813</v>
      </c>
      <c r="M15" s="43">
        <v>8.2089552238805936</v>
      </c>
      <c r="N15" s="47">
        <v>5.4263868743016509E-2</v>
      </c>
      <c r="O15" s="182">
        <v>0.11102693671193342</v>
      </c>
      <c r="Q15" s="4" t="s">
        <v>30</v>
      </c>
      <c r="R15" s="4">
        <v>50</v>
      </c>
      <c r="S15" s="4" t="s">
        <v>4</v>
      </c>
      <c r="T15" s="43">
        <v>10.997442455242959</v>
      </c>
      <c r="U15" s="43">
        <v>0.17258001076192506</v>
      </c>
      <c r="V15" s="4"/>
      <c r="W15" s="47"/>
      <c r="X15" s="47"/>
      <c r="Y15" s="47"/>
      <c r="Z15" s="43">
        <v>27.41</v>
      </c>
      <c r="AA15" s="43">
        <v>29.21</v>
      </c>
      <c r="AB15" s="43">
        <f t="shared" si="1"/>
        <v>1.8000000000000007</v>
      </c>
      <c r="AC15" s="43">
        <v>5.13</v>
      </c>
      <c r="AD15" s="43">
        <v>5.42</v>
      </c>
    </row>
    <row r="16" spans="1:30" x14ac:dyDescent="0.25">
      <c r="A16" s="174" t="s">
        <v>30</v>
      </c>
      <c r="B16" s="4">
        <v>50</v>
      </c>
      <c r="C16" s="4" t="s">
        <v>4</v>
      </c>
      <c r="D16" s="4"/>
      <c r="E16" s="4"/>
      <c r="F16" s="4"/>
      <c r="G16" s="4"/>
      <c r="H16" s="5"/>
      <c r="I16" s="5"/>
      <c r="J16" s="5"/>
      <c r="K16" s="5"/>
      <c r="L16" s="4"/>
      <c r="M16" s="4"/>
      <c r="N16" s="47"/>
      <c r="O16" s="182"/>
      <c r="Q16" s="4" t="s">
        <v>149</v>
      </c>
      <c r="R16" s="4">
        <v>63</v>
      </c>
      <c r="S16" s="4" t="s">
        <v>4</v>
      </c>
      <c r="T16" s="4"/>
      <c r="U16" s="47"/>
      <c r="V16" s="4"/>
      <c r="W16" s="47"/>
      <c r="X16" s="47"/>
      <c r="Y16" s="47"/>
      <c r="Z16" s="43">
        <v>14.03</v>
      </c>
      <c r="AA16" s="43">
        <v>15.01</v>
      </c>
      <c r="AB16" s="43">
        <f t="shared" si="1"/>
        <v>0.98000000000000043</v>
      </c>
      <c r="AC16" s="43">
        <v>4.79</v>
      </c>
      <c r="AD16" s="43">
        <v>4.91</v>
      </c>
    </row>
    <row r="17" spans="1:30" x14ac:dyDescent="0.25">
      <c r="A17" s="174" t="s">
        <v>149</v>
      </c>
      <c r="B17" s="4">
        <v>63</v>
      </c>
      <c r="C17" s="4" t="s">
        <v>4</v>
      </c>
      <c r="D17" s="4"/>
      <c r="E17" s="4"/>
      <c r="F17" s="4"/>
      <c r="G17" s="4"/>
      <c r="H17" s="5"/>
      <c r="I17" s="5"/>
      <c r="J17" s="5"/>
      <c r="K17" s="5"/>
      <c r="L17" s="4"/>
      <c r="M17" s="4"/>
      <c r="N17" s="47"/>
      <c r="O17" s="182"/>
      <c r="Q17" s="4" t="s">
        <v>5</v>
      </c>
      <c r="R17" s="4">
        <v>51</v>
      </c>
      <c r="S17" s="4" t="s">
        <v>6</v>
      </c>
      <c r="T17" s="43">
        <v>6.7599067599067597</v>
      </c>
      <c r="U17" s="43">
        <v>0.11939914018281707</v>
      </c>
      <c r="V17" s="43">
        <v>13.606911447084229</v>
      </c>
      <c r="W17" s="43">
        <v>0.19889454568811862</v>
      </c>
      <c r="X17" s="47">
        <f t="shared" si="0"/>
        <v>6.8470046871774697</v>
      </c>
      <c r="Y17" s="47">
        <f t="shared" si="0"/>
        <v>7.9495405505301556E-2</v>
      </c>
      <c r="Z17" s="43">
        <v>16.45</v>
      </c>
      <c r="AA17" s="43">
        <v>18.25</v>
      </c>
      <c r="AB17" s="43">
        <f t="shared" si="1"/>
        <v>1.8000000000000007</v>
      </c>
      <c r="AC17" s="43">
        <v>4.78</v>
      </c>
      <c r="AD17" s="43">
        <v>4.92</v>
      </c>
    </row>
    <row r="18" spans="1:30" x14ac:dyDescent="0.25">
      <c r="A18" s="124" t="s">
        <v>33</v>
      </c>
      <c r="B18" s="8">
        <f>AVERAGE(B3:B17)</f>
        <v>55</v>
      </c>
      <c r="C18" s="8"/>
      <c r="D18" s="94">
        <f t="shared" ref="D18:O18" si="2">AVERAGE(D3:D17)</f>
        <v>6.2599999999999989</v>
      </c>
      <c r="E18" s="94">
        <f t="shared" si="2"/>
        <v>6.2518181818181811</v>
      </c>
      <c r="F18" s="94">
        <f t="shared" si="2"/>
        <v>6.4854545454545454</v>
      </c>
      <c r="G18" s="94">
        <f t="shared" si="2"/>
        <v>6.7299999999999986</v>
      </c>
      <c r="H18" s="6">
        <f t="shared" si="2"/>
        <v>105.04211556272729</v>
      </c>
      <c r="I18" s="6">
        <f t="shared" si="2"/>
        <v>108.17500931454546</v>
      </c>
      <c r="J18" s="6">
        <f t="shared" si="2"/>
        <v>1312.0041922697728</v>
      </c>
      <c r="K18" s="6">
        <f t="shared" si="2"/>
        <v>1055.3751300954546</v>
      </c>
      <c r="L18" s="94">
        <f t="shared" si="2"/>
        <v>3.5393994355328275</v>
      </c>
      <c r="M18" s="94">
        <f t="shared" si="2"/>
        <v>7.4675432841835638</v>
      </c>
      <c r="N18" s="7">
        <f t="shared" si="2"/>
        <v>4.7787967807699297E-2</v>
      </c>
      <c r="O18" s="127">
        <f t="shared" si="2"/>
        <v>9.8698614998948303E-2</v>
      </c>
      <c r="Q18" s="4" t="s">
        <v>14</v>
      </c>
      <c r="R18" s="4">
        <v>55</v>
      </c>
      <c r="S18" s="4" t="s">
        <v>6</v>
      </c>
      <c r="T18" s="43">
        <v>7.0815450643776838</v>
      </c>
      <c r="U18" s="43">
        <v>0.12501685549684066</v>
      </c>
      <c r="V18" s="43">
        <v>11.946902654867259</v>
      </c>
      <c r="W18" s="43">
        <v>0.19892550244146509</v>
      </c>
      <c r="X18" s="47">
        <f t="shared" si="0"/>
        <v>4.8653575904895749</v>
      </c>
      <c r="Y18" s="47">
        <f t="shared" si="0"/>
        <v>7.3908646944624429E-2</v>
      </c>
      <c r="Z18" s="43">
        <v>13.54</v>
      </c>
      <c r="AA18" s="43">
        <v>15.87</v>
      </c>
      <c r="AB18" s="43">
        <f t="shared" si="1"/>
        <v>2.33</v>
      </c>
      <c r="AC18" s="43">
        <v>5.62</v>
      </c>
      <c r="AD18" s="43">
        <v>6.56</v>
      </c>
    </row>
    <row r="19" spans="1:30" x14ac:dyDescent="0.25">
      <c r="A19" s="124" t="s">
        <v>34</v>
      </c>
      <c r="B19" s="8">
        <f>STDEV(B3:B17)</f>
        <v>8.2635170651311842</v>
      </c>
      <c r="C19" s="8"/>
      <c r="D19" s="94">
        <f t="shared" ref="D19:O19" si="3">STDEV(D3:D17)</f>
        <v>1.2936923900216863</v>
      </c>
      <c r="E19" s="94">
        <f t="shared" si="3"/>
        <v>1.3125000432900416</v>
      </c>
      <c r="F19" s="94">
        <f t="shared" si="3"/>
        <v>1.3559156584121559</v>
      </c>
      <c r="G19" s="94">
        <f t="shared" si="3"/>
        <v>1.4666219690158795</v>
      </c>
      <c r="H19" s="6">
        <f t="shared" si="3"/>
        <v>49.977038537016419</v>
      </c>
      <c r="I19" s="6">
        <f t="shared" si="3"/>
        <v>49.828946920567788</v>
      </c>
      <c r="J19" s="6">
        <f t="shared" si="3"/>
        <v>607.34537517808417</v>
      </c>
      <c r="K19" s="6">
        <f t="shared" si="3"/>
        <v>419.69772909467412</v>
      </c>
      <c r="L19" s="94">
        <f t="shared" si="3"/>
        <v>2.6191501242057251</v>
      </c>
      <c r="M19" s="94">
        <f t="shared" si="3"/>
        <v>2.3081763561676936</v>
      </c>
      <c r="N19" s="7">
        <f t="shared" si="3"/>
        <v>3.6263134821728514E-2</v>
      </c>
      <c r="O19" s="127">
        <f t="shared" si="3"/>
        <v>2.9694563374158989E-2</v>
      </c>
      <c r="Q19" s="4" t="s">
        <v>19</v>
      </c>
      <c r="R19" s="4">
        <v>53</v>
      </c>
      <c r="S19" s="4" t="s">
        <v>6</v>
      </c>
      <c r="T19" s="43">
        <v>4.3478260869565259</v>
      </c>
      <c r="U19" s="43">
        <v>7.1584651411289918E-2</v>
      </c>
      <c r="V19" s="43">
        <v>11.873840445269028</v>
      </c>
      <c r="W19" s="43">
        <v>0.16767932985574643</v>
      </c>
      <c r="X19" s="47">
        <f t="shared" si="0"/>
        <v>7.5260143583125023</v>
      </c>
      <c r="Y19" s="47">
        <f t="shared" si="0"/>
        <v>9.6094678444456516E-2</v>
      </c>
      <c r="Z19" s="43">
        <v>17.68</v>
      </c>
      <c r="AA19" s="43">
        <v>17.239999999999998</v>
      </c>
      <c r="AB19" s="43">
        <f t="shared" si="1"/>
        <v>-0.44000000000000128</v>
      </c>
      <c r="AC19" s="43">
        <v>8.17</v>
      </c>
      <c r="AD19" s="43">
        <v>9.07</v>
      </c>
    </row>
    <row r="20" spans="1:30" x14ac:dyDescent="0.25">
      <c r="A20" s="124" t="s">
        <v>160</v>
      </c>
      <c r="E20" s="149">
        <f>TTEST(D2:D17,E2:E17,2,1)</f>
        <v>0.84926373095923735</v>
      </c>
      <c r="G20" s="149">
        <f>TTEST(F2:F17,G2:G17,2,1)</f>
        <v>1.7954618993182004E-3</v>
      </c>
      <c r="I20" s="149">
        <f>TTEST(H2:H17,I2:I17,2,1)</f>
        <v>0.39227160074817835</v>
      </c>
      <c r="K20" s="149">
        <f>TTEST(J2:J17,K2:K17,2,1)</f>
        <v>7.728335128470433E-2</v>
      </c>
      <c r="M20" s="149">
        <f>TTEST(L2:L17,M2:M17,2,1)</f>
        <v>1.4390589227229809E-4</v>
      </c>
      <c r="O20" s="185">
        <f>TTEST(N2:N17,O2:O17,2,1)</f>
        <v>6.6426162886377711E-4</v>
      </c>
      <c r="Q20" s="4" t="s">
        <v>22</v>
      </c>
      <c r="R20" s="4">
        <v>55</v>
      </c>
      <c r="S20" s="4" t="s">
        <v>6</v>
      </c>
      <c r="T20" s="43">
        <v>2.0895522388059655</v>
      </c>
      <c r="U20" s="43">
        <v>3.7685986410265555E-2</v>
      </c>
      <c r="V20" s="43">
        <v>6.0060060060059977</v>
      </c>
      <c r="W20" s="43">
        <v>8.7150208018979117E-2</v>
      </c>
      <c r="X20" s="47">
        <f t="shared" si="0"/>
        <v>3.9164537672000321</v>
      </c>
      <c r="Y20" s="47">
        <f t="shared" si="0"/>
        <v>4.9464221608713561E-2</v>
      </c>
      <c r="Z20" s="43">
        <v>18.84</v>
      </c>
      <c r="AA20" s="43">
        <v>22.48</v>
      </c>
      <c r="AB20" s="43">
        <f t="shared" si="1"/>
        <v>3.6400000000000006</v>
      </c>
      <c r="AC20" s="43">
        <v>8.1199999999999992</v>
      </c>
      <c r="AD20" s="43">
        <v>9.18</v>
      </c>
    </row>
    <row r="21" spans="1:30" x14ac:dyDescent="0.25">
      <c r="A21" s="121"/>
      <c r="B21" s="4"/>
      <c r="C21" s="4"/>
      <c r="O21" s="123"/>
      <c r="Q21" s="4" t="s">
        <v>26</v>
      </c>
      <c r="R21" s="4">
        <v>54</v>
      </c>
      <c r="S21" s="4" t="s">
        <v>6</v>
      </c>
      <c r="T21" s="43">
        <v>8.9958158995815829</v>
      </c>
      <c r="U21" s="43">
        <v>0.1780680048545317</v>
      </c>
      <c r="V21" s="43">
        <v>10.655737704918042</v>
      </c>
      <c r="W21" s="43">
        <v>0.19964350748087578</v>
      </c>
      <c r="X21" s="47">
        <f t="shared" si="0"/>
        <v>1.6599218053364595</v>
      </c>
      <c r="Y21" s="47">
        <f t="shared" si="0"/>
        <v>2.1575502626344084E-2</v>
      </c>
      <c r="Z21" s="43">
        <v>18.54</v>
      </c>
      <c r="AA21" s="43">
        <v>18.61</v>
      </c>
      <c r="AB21" s="43">
        <f t="shared" si="1"/>
        <v>7.0000000000000284E-2</v>
      </c>
      <c r="AC21" s="43">
        <v>5.36</v>
      </c>
      <c r="AD21" s="43">
        <v>4.21</v>
      </c>
    </row>
    <row r="22" spans="1:30" x14ac:dyDescent="0.25">
      <c r="A22" s="174" t="s">
        <v>44</v>
      </c>
      <c r="O22" s="123"/>
      <c r="Q22" s="21" t="s">
        <v>42</v>
      </c>
      <c r="R22" s="21">
        <v>59</v>
      </c>
      <c r="S22" s="21" t="s">
        <v>6</v>
      </c>
      <c r="T22" s="183"/>
      <c r="U22" s="183"/>
      <c r="V22" s="183"/>
      <c r="W22" s="183"/>
      <c r="X22" s="183"/>
      <c r="Y22" s="183"/>
      <c r="Z22" s="183"/>
      <c r="AA22" s="183"/>
      <c r="AB22" s="183"/>
      <c r="AC22" s="183"/>
      <c r="AD22" s="183"/>
    </row>
    <row r="23" spans="1:30" x14ac:dyDescent="0.25">
      <c r="A23" s="124" t="s">
        <v>0</v>
      </c>
      <c r="B23" s="3" t="s">
        <v>1</v>
      </c>
      <c r="C23" s="3" t="s">
        <v>2</v>
      </c>
      <c r="D23" s="3" t="s">
        <v>369</v>
      </c>
      <c r="E23" s="3" t="s">
        <v>370</v>
      </c>
      <c r="F23" s="3" t="s">
        <v>371</v>
      </c>
      <c r="G23" s="3" t="s">
        <v>372</v>
      </c>
      <c r="H23" s="3" t="s">
        <v>373</v>
      </c>
      <c r="I23" s="3" t="s">
        <v>374</v>
      </c>
      <c r="J23" s="3" t="s">
        <v>375</v>
      </c>
      <c r="K23" s="3" t="s">
        <v>376</v>
      </c>
      <c r="L23" s="158" t="s">
        <v>377</v>
      </c>
      <c r="M23" s="158" t="s">
        <v>378</v>
      </c>
      <c r="N23" s="158" t="s">
        <v>379</v>
      </c>
      <c r="O23" s="181" t="s">
        <v>380</v>
      </c>
      <c r="Q23" s="4" t="s">
        <v>28</v>
      </c>
      <c r="R23" s="4">
        <v>70</v>
      </c>
      <c r="S23" s="4" t="s">
        <v>6</v>
      </c>
      <c r="T23" s="43">
        <v>5.3097345132743419</v>
      </c>
      <c r="U23" s="43">
        <v>9.5669703553180108E-2</v>
      </c>
      <c r="V23" s="43">
        <v>3.1890660592255262</v>
      </c>
      <c r="W23" s="43">
        <v>6.5358578304502604E-2</v>
      </c>
      <c r="X23" s="47">
        <f t="shared" si="0"/>
        <v>-2.1206684540488157</v>
      </c>
      <c r="Y23" s="47">
        <f t="shared" si="0"/>
        <v>-3.0311125248677503E-2</v>
      </c>
      <c r="Z23" s="43">
        <v>9.9700000000000006</v>
      </c>
      <c r="AA23" s="43">
        <v>10.97</v>
      </c>
      <c r="AB23" s="43">
        <f t="shared" si="1"/>
        <v>1</v>
      </c>
      <c r="AC23" s="43">
        <v>2.94</v>
      </c>
      <c r="AD23" s="43">
        <v>3.46</v>
      </c>
    </row>
    <row r="24" spans="1:30" x14ac:dyDescent="0.25">
      <c r="A24" s="174" t="s">
        <v>5</v>
      </c>
      <c r="B24" s="4">
        <v>51</v>
      </c>
      <c r="C24" s="4" t="s">
        <v>6</v>
      </c>
      <c r="D24" s="43">
        <v>4.29</v>
      </c>
      <c r="E24" s="43">
        <v>4.63</v>
      </c>
      <c r="F24" s="43">
        <v>4.58</v>
      </c>
      <c r="G24" s="43">
        <v>5.26</v>
      </c>
      <c r="H24" s="5">
        <v>52.876819709999999</v>
      </c>
      <c r="I24" s="5">
        <v>61.590357389999987</v>
      </c>
      <c r="J24" s="5">
        <v>444.68334612000001</v>
      </c>
      <c r="K24" s="5">
        <v>845.69219268750021</v>
      </c>
      <c r="L24" s="43">
        <v>6.7599067599067597</v>
      </c>
      <c r="M24" s="43">
        <v>13.606911447084229</v>
      </c>
      <c r="N24" s="43">
        <v>0.11939914018281707</v>
      </c>
      <c r="O24" s="118">
        <v>0.19889454568811862</v>
      </c>
      <c r="Q24" s="4" t="s">
        <v>150</v>
      </c>
      <c r="R24" s="4">
        <v>60</v>
      </c>
      <c r="S24" s="4" t="s">
        <v>6</v>
      </c>
      <c r="T24" s="4"/>
      <c r="U24" s="4"/>
      <c r="V24" s="4"/>
      <c r="W24" s="4"/>
      <c r="X24" s="47"/>
      <c r="Y24" s="47"/>
      <c r="Z24" s="43">
        <v>11.01</v>
      </c>
      <c r="AA24" s="43">
        <v>12.91</v>
      </c>
      <c r="AB24" s="43">
        <f t="shared" si="1"/>
        <v>1.9000000000000004</v>
      </c>
      <c r="AC24" s="43">
        <v>3.52</v>
      </c>
      <c r="AD24" s="43">
        <v>3.97</v>
      </c>
    </row>
    <row r="25" spans="1:30" x14ac:dyDescent="0.25">
      <c r="A25" s="174" t="s">
        <v>14</v>
      </c>
      <c r="B25" s="4">
        <v>55</v>
      </c>
      <c r="C25" s="4" t="s">
        <v>6</v>
      </c>
      <c r="D25" s="43">
        <v>4.66</v>
      </c>
      <c r="E25" s="43">
        <v>4.5199999999999996</v>
      </c>
      <c r="F25" s="43">
        <v>4.99</v>
      </c>
      <c r="G25" s="43">
        <v>5.0599999999999996</v>
      </c>
      <c r="H25" s="5">
        <v>57.277066560000002</v>
      </c>
      <c r="I25" s="5">
        <v>53.887223039999981</v>
      </c>
      <c r="J25" s="5">
        <v>791.33228928000017</v>
      </c>
      <c r="K25" s="5">
        <v>553.45376250000004</v>
      </c>
      <c r="L25" s="43">
        <v>7.0815450643776838</v>
      </c>
      <c r="M25" s="43">
        <v>11.946902654867259</v>
      </c>
      <c r="N25" s="43">
        <v>0.12501685549684066</v>
      </c>
      <c r="O25" s="118">
        <v>0.19892550244146509</v>
      </c>
      <c r="Q25" s="4" t="s">
        <v>3</v>
      </c>
      <c r="R25" s="4">
        <v>45</v>
      </c>
      <c r="S25" s="4" t="s">
        <v>4</v>
      </c>
      <c r="T25" s="43">
        <v>4.8567870485678784</v>
      </c>
      <c r="U25" s="43">
        <v>6.2635958148452325E-2</v>
      </c>
      <c r="V25" s="4"/>
      <c r="W25" s="4"/>
      <c r="X25" s="47"/>
      <c r="Y25" s="47"/>
      <c r="Z25" s="43">
        <v>32.64</v>
      </c>
      <c r="AA25" s="43">
        <v>36.86</v>
      </c>
      <c r="AB25" s="43">
        <f t="shared" si="1"/>
        <v>4.2199999999999989</v>
      </c>
      <c r="AC25" s="43">
        <v>8.42</v>
      </c>
      <c r="AD25" s="43">
        <v>9.4499999999999993</v>
      </c>
    </row>
    <row r="26" spans="1:30" x14ac:dyDescent="0.25">
      <c r="A26" s="174" t="s">
        <v>19</v>
      </c>
      <c r="B26" s="4">
        <v>53</v>
      </c>
      <c r="C26" s="4" t="s">
        <v>6</v>
      </c>
      <c r="D26" s="43">
        <v>5.52</v>
      </c>
      <c r="E26" s="43">
        <v>5.39</v>
      </c>
      <c r="F26" s="43">
        <v>5.76</v>
      </c>
      <c r="G26" s="43">
        <v>6.03</v>
      </c>
      <c r="H26" s="5">
        <v>77.498415359999996</v>
      </c>
      <c r="I26" s="5">
        <v>76.627818959999985</v>
      </c>
      <c r="J26" s="5">
        <v>874.03566960000001</v>
      </c>
      <c r="K26" s="5">
        <v>885.94522176000009</v>
      </c>
      <c r="L26" s="43">
        <v>4.3478260869565259</v>
      </c>
      <c r="M26" s="43">
        <v>11.873840445269028</v>
      </c>
      <c r="N26" s="43">
        <v>7.1584651411289918E-2</v>
      </c>
      <c r="O26" s="118">
        <v>0.16767932985574643</v>
      </c>
      <c r="Q26" s="4" t="s">
        <v>9</v>
      </c>
      <c r="R26" s="4">
        <v>56</v>
      </c>
      <c r="S26" s="4" t="s">
        <v>4</v>
      </c>
      <c r="T26" s="43">
        <v>2.3498694516971241</v>
      </c>
      <c r="U26" s="43">
        <v>3.2187579874720471E-2</v>
      </c>
      <c r="V26" s="43">
        <v>5.6282722513089087</v>
      </c>
      <c r="W26" s="43">
        <v>8.3730905269554942E-2</v>
      </c>
      <c r="X26" s="47">
        <f t="shared" si="0"/>
        <v>3.2784027996117846</v>
      </c>
      <c r="Y26" s="47">
        <f t="shared" si="0"/>
        <v>5.1543325394834472E-2</v>
      </c>
      <c r="Z26" s="43">
        <v>14</v>
      </c>
      <c r="AA26" s="43">
        <v>17.89</v>
      </c>
      <c r="AB26" s="43">
        <f t="shared" si="1"/>
        <v>3.8900000000000006</v>
      </c>
      <c r="AC26" s="43">
        <v>5.7</v>
      </c>
      <c r="AD26" s="43">
        <v>6.92</v>
      </c>
    </row>
    <row r="27" spans="1:30" x14ac:dyDescent="0.25">
      <c r="A27" s="174" t="s">
        <v>22</v>
      </c>
      <c r="B27" s="4">
        <v>55</v>
      </c>
      <c r="C27" s="4" t="s">
        <v>6</v>
      </c>
      <c r="D27" s="43">
        <v>6.7</v>
      </c>
      <c r="E27" s="43">
        <v>6.66</v>
      </c>
      <c r="F27" s="43">
        <v>6.84</v>
      </c>
      <c r="G27" s="43">
        <v>7.06</v>
      </c>
      <c r="H27" s="5">
        <v>88.801398000000006</v>
      </c>
      <c r="I27" s="5">
        <v>102.36828924000001</v>
      </c>
      <c r="J27" s="5">
        <v>1030.3323315600001</v>
      </c>
      <c r="K27" s="5">
        <v>1261.6314264</v>
      </c>
      <c r="L27" s="43">
        <v>2.0895522388059655</v>
      </c>
      <c r="M27" s="43">
        <v>6.0060060060059977</v>
      </c>
      <c r="N27" s="43">
        <v>3.7685986410265555E-2</v>
      </c>
      <c r="O27" s="118">
        <v>8.7150208018979117E-2</v>
      </c>
      <c r="Q27" s="4" t="s">
        <v>11</v>
      </c>
      <c r="R27" s="4">
        <v>53</v>
      </c>
      <c r="S27" s="4" t="s">
        <v>4</v>
      </c>
      <c r="T27" s="43">
        <v>3.9900249376558645</v>
      </c>
      <c r="U27" s="43">
        <v>4.9936162322880936E-2</v>
      </c>
      <c r="V27" s="43">
        <v>8.4975369458128238</v>
      </c>
      <c r="W27" s="43">
        <v>9.8257955224190924E-2</v>
      </c>
      <c r="X27" s="47">
        <f t="shared" si="0"/>
        <v>4.5075120081569597</v>
      </c>
      <c r="Y27" s="47">
        <f t="shared" si="0"/>
        <v>4.8321792901309987E-2</v>
      </c>
      <c r="Z27" s="43">
        <v>17.75</v>
      </c>
      <c r="AA27" s="43">
        <v>21.53</v>
      </c>
      <c r="AB27" s="43">
        <f t="shared" si="1"/>
        <v>3.7800000000000011</v>
      </c>
      <c r="AC27" s="43">
        <v>8.01</v>
      </c>
      <c r="AD27" s="43">
        <v>7.88</v>
      </c>
    </row>
    <row r="28" spans="1:30" x14ac:dyDescent="0.25">
      <c r="A28" s="174" t="s">
        <v>26</v>
      </c>
      <c r="B28" s="4">
        <v>54</v>
      </c>
      <c r="C28" s="4" t="s">
        <v>6</v>
      </c>
      <c r="D28" s="43">
        <v>4.78</v>
      </c>
      <c r="E28" s="43">
        <v>4.88</v>
      </c>
      <c r="F28" s="43">
        <v>5.21</v>
      </c>
      <c r="G28" s="43">
        <v>5.4</v>
      </c>
      <c r="H28" s="5">
        <v>50.579503080000002</v>
      </c>
      <c r="I28" s="5">
        <v>52.717937280000008</v>
      </c>
      <c r="J28" s="5">
        <v>1195.8046867200001</v>
      </c>
      <c r="K28" s="5">
        <v>618.16878815999996</v>
      </c>
      <c r="L28" s="43">
        <v>8.9958158995815829</v>
      </c>
      <c r="M28" s="43">
        <v>10.655737704918042</v>
      </c>
      <c r="N28" s="43">
        <v>0.1780680048545317</v>
      </c>
      <c r="O28" s="118">
        <v>0.19964350748087578</v>
      </c>
      <c r="Q28" s="4" t="s">
        <v>12</v>
      </c>
      <c r="R28" s="4">
        <v>46</v>
      </c>
      <c r="S28" s="4" t="s">
        <v>4</v>
      </c>
      <c r="T28" s="4"/>
      <c r="U28" s="4"/>
      <c r="V28" s="4"/>
      <c r="W28" s="4"/>
      <c r="X28" s="47"/>
      <c r="Y28" s="47"/>
      <c r="Z28" s="43">
        <v>19.440000000000001</v>
      </c>
      <c r="AA28" s="43">
        <v>19.95</v>
      </c>
      <c r="AB28" s="43">
        <f t="shared" si="1"/>
        <v>0.50999999999999801</v>
      </c>
      <c r="AC28" s="43">
        <v>5.5</v>
      </c>
      <c r="AD28" s="43">
        <v>4.43</v>
      </c>
    </row>
    <row r="29" spans="1:30" x14ac:dyDescent="0.25">
      <c r="A29" s="175" t="s">
        <v>42</v>
      </c>
      <c r="B29" s="21">
        <v>59</v>
      </c>
      <c r="C29" s="21" t="s">
        <v>6</v>
      </c>
      <c r="D29" s="4"/>
      <c r="E29" s="4"/>
      <c r="F29" s="4"/>
      <c r="G29" s="4"/>
      <c r="H29" s="5"/>
      <c r="I29" s="5"/>
      <c r="J29" s="5"/>
      <c r="K29" s="5"/>
      <c r="L29" s="4"/>
      <c r="M29" s="4"/>
      <c r="N29" s="4"/>
      <c r="O29" s="186"/>
      <c r="Q29" s="4" t="s">
        <v>23</v>
      </c>
      <c r="R29" s="4">
        <v>60</v>
      </c>
      <c r="S29" s="4" t="s">
        <v>4</v>
      </c>
      <c r="T29" s="43">
        <v>5.0822122571001476</v>
      </c>
      <c r="U29" s="43">
        <v>7.2452255476469718E-2</v>
      </c>
      <c r="V29" s="43">
        <v>7.0278184480234192</v>
      </c>
      <c r="W29" s="43">
        <v>8.8560091636063598E-2</v>
      </c>
      <c r="X29" s="47">
        <f t="shared" si="0"/>
        <v>1.9456061909232716</v>
      </c>
      <c r="Y29" s="47">
        <f t="shared" si="0"/>
        <v>1.610783615959388E-2</v>
      </c>
      <c r="Z29" s="43">
        <v>14.9</v>
      </c>
      <c r="AA29" s="43">
        <v>19.239999999999998</v>
      </c>
      <c r="AB29" s="43">
        <f t="shared" si="1"/>
        <v>4.3399999999999981</v>
      </c>
      <c r="AC29" s="43">
        <v>5.61</v>
      </c>
      <c r="AD29" s="43">
        <v>6.65</v>
      </c>
    </row>
    <row r="30" spans="1:30" x14ac:dyDescent="0.25">
      <c r="A30" s="174" t="s">
        <v>28</v>
      </c>
      <c r="B30" s="4">
        <v>70</v>
      </c>
      <c r="C30" s="4" t="s">
        <v>6</v>
      </c>
      <c r="D30" s="43">
        <v>4.5199999999999996</v>
      </c>
      <c r="E30" s="43">
        <v>4.3899999999999997</v>
      </c>
      <c r="F30" s="43">
        <v>4.76</v>
      </c>
      <c r="G30" s="43">
        <v>4.53</v>
      </c>
      <c r="H30" s="5">
        <v>56.774038559999987</v>
      </c>
      <c r="I30" s="5">
        <v>49.924375050000002</v>
      </c>
      <c r="J30" s="5">
        <v>631.32557865000012</v>
      </c>
      <c r="K30" s="5">
        <v>573.29912064000007</v>
      </c>
      <c r="L30" s="43">
        <v>5.3097345132743419</v>
      </c>
      <c r="M30" s="43">
        <v>3.1890660592255262</v>
      </c>
      <c r="N30" s="43">
        <v>9.5669703553180108E-2</v>
      </c>
      <c r="O30" s="118">
        <v>6.5358578304502604E-2</v>
      </c>
      <c r="Q30" s="4" t="s">
        <v>27</v>
      </c>
      <c r="R30" s="4">
        <v>63</v>
      </c>
      <c r="S30" s="4" t="s">
        <v>4</v>
      </c>
      <c r="T30" s="43">
        <v>11.455525606468999</v>
      </c>
      <c r="U30" s="43">
        <v>0.18787948552571621</v>
      </c>
      <c r="V30" s="43">
        <v>10.680907877169545</v>
      </c>
      <c r="W30" s="43">
        <v>0.13904712785634518</v>
      </c>
      <c r="X30" s="47">
        <f t="shared" si="0"/>
        <v>-0.77461772929945383</v>
      </c>
      <c r="Y30" s="47">
        <f t="shared" si="0"/>
        <v>-4.8832357669371024E-2</v>
      </c>
      <c r="Z30" s="43">
        <v>21.64</v>
      </c>
      <c r="AA30" s="43">
        <v>24.25</v>
      </c>
      <c r="AB30" s="43">
        <f t="shared" si="1"/>
        <v>2.6099999999999994</v>
      </c>
      <c r="AC30" s="43">
        <v>6.24</v>
      </c>
      <c r="AD30" s="43">
        <v>7.6</v>
      </c>
    </row>
    <row r="31" spans="1:30" x14ac:dyDescent="0.25">
      <c r="A31" s="174" t="s">
        <v>150</v>
      </c>
      <c r="B31" s="4">
        <v>60</v>
      </c>
      <c r="C31" s="4" t="s">
        <v>6</v>
      </c>
      <c r="D31" s="4"/>
      <c r="E31" s="4"/>
      <c r="F31" s="4"/>
      <c r="G31" s="4"/>
      <c r="H31" s="5"/>
      <c r="I31" s="5"/>
      <c r="J31" s="5"/>
      <c r="K31" s="5"/>
      <c r="L31" s="4"/>
      <c r="M31" s="4"/>
      <c r="N31" s="4"/>
      <c r="O31" s="186"/>
      <c r="Q31" s="4" t="s">
        <v>29</v>
      </c>
      <c r="R31" s="4">
        <v>60</v>
      </c>
      <c r="S31" s="4" t="s">
        <v>4</v>
      </c>
      <c r="T31" s="43">
        <v>12.28956228956228</v>
      </c>
      <c r="U31" s="43">
        <v>0.21616653102416422</v>
      </c>
      <c r="V31" s="4"/>
      <c r="W31" s="4"/>
      <c r="X31" s="47"/>
      <c r="Y31" s="47"/>
      <c r="Z31" s="43">
        <v>9.99</v>
      </c>
      <c r="AA31" s="43">
        <v>12.49</v>
      </c>
      <c r="AB31" s="43">
        <f t="shared" si="1"/>
        <v>2.5</v>
      </c>
      <c r="AC31" s="43">
        <v>3.82</v>
      </c>
      <c r="AD31" s="43">
        <v>5</v>
      </c>
    </row>
    <row r="32" spans="1:30" x14ac:dyDescent="0.25">
      <c r="A32" s="174" t="s">
        <v>3</v>
      </c>
      <c r="B32" s="4">
        <v>45</v>
      </c>
      <c r="C32" s="4" t="s">
        <v>4</v>
      </c>
      <c r="D32" s="4"/>
      <c r="E32" s="4"/>
      <c r="F32" s="4"/>
      <c r="G32" s="4"/>
      <c r="H32" s="5"/>
      <c r="I32" s="5"/>
      <c r="J32" s="5"/>
      <c r="K32" s="5"/>
      <c r="L32" s="4"/>
      <c r="M32" s="4"/>
      <c r="N32" s="4"/>
      <c r="O32" s="186"/>
    </row>
    <row r="33" spans="1:30" x14ac:dyDescent="0.25">
      <c r="A33" s="174" t="s">
        <v>9</v>
      </c>
      <c r="B33" s="4">
        <v>56</v>
      </c>
      <c r="C33" s="4" t="s">
        <v>4</v>
      </c>
      <c r="D33" s="43">
        <v>7.66</v>
      </c>
      <c r="E33" s="43">
        <v>7.64</v>
      </c>
      <c r="F33" s="43">
        <v>7.84</v>
      </c>
      <c r="G33" s="43">
        <v>8.07</v>
      </c>
      <c r="H33" s="5">
        <v>127.12655495999999</v>
      </c>
      <c r="I33" s="5">
        <v>115.46674272</v>
      </c>
      <c r="J33" s="5">
        <v>1356.0253335000002</v>
      </c>
      <c r="K33" s="5">
        <v>1108.8659361</v>
      </c>
      <c r="L33" s="43">
        <v>2.3498694516971241</v>
      </c>
      <c r="M33" s="43">
        <v>5.6282722513089087</v>
      </c>
      <c r="N33" s="43">
        <v>3.2187579874720471E-2</v>
      </c>
      <c r="O33" s="118">
        <v>8.3730905269554942E-2</v>
      </c>
    </row>
    <row r="34" spans="1:30" x14ac:dyDescent="0.25">
      <c r="A34" s="174" t="s">
        <v>11</v>
      </c>
      <c r="B34" s="4">
        <v>53</v>
      </c>
      <c r="C34" s="4" t="s">
        <v>4</v>
      </c>
      <c r="D34" s="43">
        <v>8.02</v>
      </c>
      <c r="E34" s="43">
        <v>8.1199999999999992</v>
      </c>
      <c r="F34" s="43">
        <v>8.34</v>
      </c>
      <c r="G34" s="43">
        <v>8.81</v>
      </c>
      <c r="H34" s="5">
        <v>148.44505115999999</v>
      </c>
      <c r="I34" s="5">
        <v>149.06449151999996</v>
      </c>
      <c r="J34" s="5">
        <v>1644.8798498399995</v>
      </c>
      <c r="K34" s="5">
        <v>1398.1471937999997</v>
      </c>
      <c r="L34" s="43">
        <v>3.9900249376558645</v>
      </c>
      <c r="M34" s="43">
        <v>8.4975369458128238</v>
      </c>
      <c r="N34" s="43">
        <v>4.9936162322880936E-2</v>
      </c>
      <c r="O34" s="118">
        <v>9.8257955224190924E-2</v>
      </c>
      <c r="AA34" s="187" t="s">
        <v>393</v>
      </c>
      <c r="AB34" s="40">
        <f>CORREL(T2:T31,AB2:AB31)</f>
        <v>-0.18643346258907337</v>
      </c>
    </row>
    <row r="35" spans="1:30" x14ac:dyDescent="0.25">
      <c r="A35" s="174" t="s">
        <v>12</v>
      </c>
      <c r="B35" s="4">
        <v>46</v>
      </c>
      <c r="C35" s="4" t="s">
        <v>4</v>
      </c>
      <c r="D35" s="4"/>
      <c r="E35" s="4"/>
      <c r="F35" s="4"/>
      <c r="G35" s="4"/>
      <c r="H35" s="5"/>
      <c r="I35" s="5"/>
      <c r="J35" s="5"/>
      <c r="K35" s="5"/>
      <c r="L35" s="4"/>
      <c r="M35" s="4"/>
      <c r="N35" s="4"/>
      <c r="O35" s="186"/>
      <c r="AA35" s="187" t="s">
        <v>392</v>
      </c>
      <c r="AB35" s="40">
        <f>CORREL(U2:U31,AB2:AB31)</f>
        <v>-0.27228401691941984</v>
      </c>
    </row>
    <row r="36" spans="1:30" x14ac:dyDescent="0.25">
      <c r="A36" s="174" t="s">
        <v>23</v>
      </c>
      <c r="B36" s="4">
        <v>60</v>
      </c>
      <c r="C36" s="4" t="s">
        <v>4</v>
      </c>
      <c r="D36" s="43">
        <v>6.69</v>
      </c>
      <c r="E36" s="43">
        <v>6.83</v>
      </c>
      <c r="F36" s="43">
        <v>7.03</v>
      </c>
      <c r="G36" s="43">
        <v>7.31</v>
      </c>
      <c r="H36" s="5">
        <v>105.40061550000001</v>
      </c>
      <c r="I36" s="5">
        <v>114.25248588000001</v>
      </c>
      <c r="J36" s="5">
        <v>1267.3434273599999</v>
      </c>
      <c r="K36" s="5">
        <v>1313.6999040000001</v>
      </c>
      <c r="L36" s="43">
        <v>5.0822122571001476</v>
      </c>
      <c r="M36" s="43">
        <v>7.0278184480234192</v>
      </c>
      <c r="N36" s="43">
        <v>7.2452255476469718E-2</v>
      </c>
      <c r="O36" s="118">
        <v>8.8560091636063598E-2</v>
      </c>
      <c r="AA36" s="187" t="s">
        <v>481</v>
      </c>
      <c r="AB36" s="40">
        <f>CORREL(X2:X31,AB2:AB31)</f>
        <v>2.1144135749955537E-2</v>
      </c>
    </row>
    <row r="37" spans="1:30" x14ac:dyDescent="0.25">
      <c r="A37" s="174" t="s">
        <v>27</v>
      </c>
      <c r="B37" s="4">
        <v>63</v>
      </c>
      <c r="C37" s="4" t="s">
        <v>4</v>
      </c>
      <c r="D37" s="43">
        <v>7.42</v>
      </c>
      <c r="E37" s="43">
        <v>7.49</v>
      </c>
      <c r="F37" s="43">
        <v>8.27</v>
      </c>
      <c r="G37" s="43">
        <v>8.2899999999999991</v>
      </c>
      <c r="H37" s="5">
        <v>90.76047539999999</v>
      </c>
      <c r="I37" s="5">
        <v>116.26184724000002</v>
      </c>
      <c r="J37" s="5">
        <v>1728.886827</v>
      </c>
      <c r="K37" s="5">
        <v>1349.0855086800002</v>
      </c>
      <c r="L37" s="43">
        <v>11.455525606468999</v>
      </c>
      <c r="M37" s="43">
        <v>10.680907877169545</v>
      </c>
      <c r="N37" s="43">
        <v>0.18787948552571621</v>
      </c>
      <c r="O37" s="118">
        <v>0.13904712785634518</v>
      </c>
      <c r="AA37" s="187" t="s">
        <v>482</v>
      </c>
      <c r="AB37" s="40">
        <f>CORREL(Y2:Y31,AB2:AB31)</f>
        <v>-0.12796512041414107</v>
      </c>
    </row>
    <row r="38" spans="1:30" x14ac:dyDescent="0.25">
      <c r="A38" s="174" t="s">
        <v>29</v>
      </c>
      <c r="B38" s="4">
        <v>60</v>
      </c>
      <c r="C38" s="4" t="s">
        <v>4</v>
      </c>
      <c r="D38" s="4"/>
      <c r="E38" s="4"/>
      <c r="F38" s="4"/>
      <c r="G38" s="4"/>
      <c r="H38" s="5"/>
      <c r="I38" s="5"/>
      <c r="J38" s="5"/>
      <c r="K38" s="5"/>
      <c r="L38" s="4"/>
      <c r="M38" s="4"/>
      <c r="N38" s="4"/>
      <c r="O38" s="186"/>
    </row>
    <row r="39" spans="1:30" x14ac:dyDescent="0.25">
      <c r="A39" s="124" t="s">
        <v>33</v>
      </c>
      <c r="B39" s="8">
        <f>AVERAGE(B24:B38)</f>
        <v>56</v>
      </c>
      <c r="C39" s="8"/>
      <c r="D39" s="94">
        <f t="shared" ref="D39:O39" si="4">AVERAGE(D24:D38)</f>
        <v>6.0259999999999989</v>
      </c>
      <c r="E39" s="94">
        <f t="shared" si="4"/>
        <v>6.0549999999999997</v>
      </c>
      <c r="F39" s="94">
        <f t="shared" si="4"/>
        <v>6.3620000000000001</v>
      </c>
      <c r="G39" s="94">
        <f t="shared" si="4"/>
        <v>6.5820000000000007</v>
      </c>
      <c r="H39" s="6">
        <f>AVERAGE(H24:H38)</f>
        <v>85.553993828999992</v>
      </c>
      <c r="I39" s="6">
        <f t="shared" si="4"/>
        <v>89.216156831999996</v>
      </c>
      <c r="J39" s="6">
        <f t="shared" si="4"/>
        <v>1096.464933963</v>
      </c>
      <c r="K39" s="6">
        <f t="shared" si="4"/>
        <v>990.79890547275011</v>
      </c>
      <c r="L39" s="94">
        <f t="shared" si="4"/>
        <v>5.7462012815824988</v>
      </c>
      <c r="M39" s="94">
        <f t="shared" si="4"/>
        <v>8.9112999839684779</v>
      </c>
      <c r="N39" s="7">
        <f t="shared" si="4"/>
        <v>9.6987982510871221E-2</v>
      </c>
      <c r="O39" s="127">
        <f t="shared" si="4"/>
        <v>0.13272477517758424</v>
      </c>
      <c r="R39" s="8"/>
      <c r="S39" s="8"/>
      <c r="Z39" s="8"/>
      <c r="AA39" s="8"/>
      <c r="AB39" s="8"/>
      <c r="AC39" s="8"/>
      <c r="AD39" s="8"/>
    </row>
    <row r="40" spans="1:30" x14ac:dyDescent="0.25">
      <c r="A40" s="124" t="s">
        <v>34</v>
      </c>
      <c r="B40" s="8">
        <f>STDEV(B24:B38)</f>
        <v>6.3919592346277412</v>
      </c>
      <c r="C40" s="8"/>
      <c r="D40" s="94">
        <f t="shared" ref="D40:O40" si="5">STDEV(D24:D38)</f>
        <v>1.431418876499821</v>
      </c>
      <c r="E40" s="94">
        <f t="shared" si="5"/>
        <v>1.4446933546219722</v>
      </c>
      <c r="F40" s="94">
        <f t="shared" si="5"/>
        <v>1.4804638912629127</v>
      </c>
      <c r="G40" s="94">
        <f t="shared" si="5"/>
        <v>1.5213502774399674</v>
      </c>
      <c r="H40" s="6">
        <f t="shared" si="5"/>
        <v>33.497727790669593</v>
      </c>
      <c r="I40" s="6">
        <f t="shared" si="5"/>
        <v>34.717800281142793</v>
      </c>
      <c r="J40" s="6">
        <f t="shared" si="5"/>
        <v>421.01516275798247</v>
      </c>
      <c r="K40" s="6">
        <f t="shared" si="5"/>
        <v>337.03566458709884</v>
      </c>
      <c r="L40" s="94">
        <f t="shared" si="5"/>
        <v>2.9163193421465481</v>
      </c>
      <c r="M40" s="94">
        <f t="shared" si="5"/>
        <v>3.3647938596289779</v>
      </c>
      <c r="N40" s="7">
        <f t="shared" si="5"/>
        <v>5.5077596524665789E-2</v>
      </c>
      <c r="O40" s="127">
        <f t="shared" si="5"/>
        <v>5.4421207549519207E-2</v>
      </c>
      <c r="R40" s="8"/>
      <c r="S40" s="8"/>
      <c r="Z40" s="8"/>
      <c r="AA40" s="8"/>
      <c r="AB40" s="8"/>
      <c r="AC40" s="8"/>
      <c r="AD40" s="8"/>
    </row>
    <row r="41" spans="1:30" x14ac:dyDescent="0.25">
      <c r="A41" s="124" t="s">
        <v>160</v>
      </c>
      <c r="E41" s="149">
        <f>TTEST(D23:D38,E23:E38,2,1)</f>
        <v>0.56040138146971086</v>
      </c>
      <c r="G41" s="149">
        <f>TTEST(F23:F38,G23:G38,2,1)</f>
        <v>1.991580165176934E-2</v>
      </c>
      <c r="I41" s="149">
        <f>TTEST(H23:H38,I23:I38,2,1)</f>
        <v>0.31255175554533732</v>
      </c>
      <c r="K41" s="149">
        <f>TTEST(J23:J38,K23:K38,2,1)</f>
        <v>0.2812422475806643</v>
      </c>
      <c r="M41" s="149">
        <f>TTEST(L23:L38,M23:M38,2,1)</f>
        <v>9.9057764143432678E-3</v>
      </c>
      <c r="O41" s="185">
        <f>TTEST(N23:N38,O23:O38,2,1)</f>
        <v>3.89437922490471E-2</v>
      </c>
      <c r="R41" s="7"/>
      <c r="S41" s="7"/>
      <c r="Z41" s="7"/>
      <c r="AA41" s="7"/>
      <c r="AB41" s="7"/>
      <c r="AC41" s="7"/>
      <c r="AD41" s="7"/>
    </row>
    <row r="42" spans="1:30" x14ac:dyDescent="0.25">
      <c r="A42" s="124"/>
      <c r="O42" s="123"/>
      <c r="Z42" s="4"/>
      <c r="AA42" s="47"/>
      <c r="AB42" s="47"/>
      <c r="AC42" s="4"/>
      <c r="AD42" s="47"/>
    </row>
    <row r="43" spans="1:30" x14ac:dyDescent="0.25">
      <c r="A43" s="121" t="s">
        <v>381</v>
      </c>
      <c r="B43" s="38" t="s">
        <v>243</v>
      </c>
      <c r="C43" s="38" t="s">
        <v>244</v>
      </c>
      <c r="D43" s="38" t="s">
        <v>369</v>
      </c>
      <c r="E43" s="38" t="s">
        <v>370</v>
      </c>
      <c r="F43" s="38" t="s">
        <v>371</v>
      </c>
      <c r="G43" s="38" t="s">
        <v>372</v>
      </c>
      <c r="H43" s="38" t="s">
        <v>373</v>
      </c>
      <c r="I43" s="38" t="s">
        <v>374</v>
      </c>
      <c r="J43" s="38" t="s">
        <v>375</v>
      </c>
      <c r="K43" s="38" t="s">
        <v>376</v>
      </c>
      <c r="L43" s="38" t="s">
        <v>377</v>
      </c>
      <c r="M43" s="38" t="s">
        <v>378</v>
      </c>
      <c r="N43" s="38" t="s">
        <v>382</v>
      </c>
      <c r="O43" s="123" t="s">
        <v>383</v>
      </c>
    </row>
    <row r="44" spans="1:30" x14ac:dyDescent="0.25">
      <c r="A44" s="176" t="s">
        <v>3</v>
      </c>
      <c r="B44" s="38" t="s">
        <v>384</v>
      </c>
      <c r="C44" s="38" t="s">
        <v>385</v>
      </c>
      <c r="D44" s="188">
        <v>8.0299999999999994</v>
      </c>
      <c r="E44" s="188"/>
      <c r="F44" s="188">
        <v>8.42</v>
      </c>
      <c r="G44" s="188"/>
      <c r="H44" s="188">
        <v>142.74136833</v>
      </c>
      <c r="I44" s="188"/>
      <c r="J44" s="188">
        <v>2226.0292019999997</v>
      </c>
      <c r="K44" s="188"/>
      <c r="L44" s="188">
        <v>4.8567870485678784</v>
      </c>
      <c r="M44" s="188"/>
      <c r="N44" s="188">
        <v>6.2635958148452325E-2</v>
      </c>
      <c r="O44" s="123"/>
      <c r="P44" s="13"/>
    </row>
    <row r="45" spans="1:30" x14ac:dyDescent="0.25">
      <c r="A45" s="121" t="s">
        <v>386</v>
      </c>
      <c r="B45" s="38" t="s">
        <v>385</v>
      </c>
      <c r="C45" s="38" t="s">
        <v>384</v>
      </c>
      <c r="D45" s="188"/>
      <c r="E45" s="188">
        <v>5.8</v>
      </c>
      <c r="F45" s="188"/>
      <c r="G45" s="188">
        <v>6.15</v>
      </c>
      <c r="H45" s="188"/>
      <c r="I45" s="188">
        <v>93.482196000000016</v>
      </c>
      <c r="J45" s="188"/>
      <c r="K45" s="188">
        <v>871.86049500000013</v>
      </c>
      <c r="L45" s="188"/>
      <c r="M45" s="188">
        <v>6.0344827586206993</v>
      </c>
      <c r="N45" s="188"/>
      <c r="O45" s="189">
        <v>8.321037643588626E-2</v>
      </c>
    </row>
    <row r="46" spans="1:30" x14ac:dyDescent="0.25">
      <c r="A46" s="121" t="s">
        <v>387</v>
      </c>
      <c r="B46" s="38" t="s">
        <v>384</v>
      </c>
      <c r="C46" s="38" t="s">
        <v>385</v>
      </c>
      <c r="D46" s="188">
        <v>5.01</v>
      </c>
      <c r="E46" s="188"/>
      <c r="F46" s="188">
        <v>5.26</v>
      </c>
      <c r="G46" s="188"/>
      <c r="H46" s="188">
        <v>49.653017819999995</v>
      </c>
      <c r="I46" s="188"/>
      <c r="J46" s="188">
        <v>733.3576660199999</v>
      </c>
      <c r="K46" s="188"/>
      <c r="L46" s="188">
        <v>4.9900199600798407</v>
      </c>
      <c r="M46" s="188"/>
      <c r="N46" s="188">
        <v>0.1180111247001206</v>
      </c>
      <c r="O46" s="189"/>
    </row>
    <row r="47" spans="1:30" x14ac:dyDescent="0.25">
      <c r="A47" s="121" t="s">
        <v>388</v>
      </c>
      <c r="B47" s="38" t="s">
        <v>384</v>
      </c>
      <c r="C47" s="38" t="s">
        <v>385</v>
      </c>
      <c r="D47" s="188">
        <v>5.94</v>
      </c>
      <c r="E47" s="188"/>
      <c r="F47" s="188">
        <v>6.67</v>
      </c>
      <c r="G47" s="188"/>
      <c r="H47" s="188">
        <v>66.474302400000013</v>
      </c>
      <c r="I47" s="188"/>
      <c r="J47" s="188">
        <v>2132.4344925000005</v>
      </c>
      <c r="K47" s="188"/>
      <c r="L47" s="188">
        <v>12.28956228956228</v>
      </c>
      <c r="M47" s="188"/>
      <c r="N47" s="188">
        <v>0.21616653102416422</v>
      </c>
      <c r="O47" s="189"/>
    </row>
    <row r="48" spans="1:30" x14ac:dyDescent="0.25">
      <c r="A48" s="121" t="s">
        <v>389</v>
      </c>
      <c r="B48" s="38" t="s">
        <v>384</v>
      </c>
      <c r="C48" s="38" t="s">
        <v>384</v>
      </c>
      <c r="O48" s="123"/>
    </row>
    <row r="49" spans="1:15" x14ac:dyDescent="0.25">
      <c r="A49" s="121" t="s">
        <v>390</v>
      </c>
      <c r="B49" s="38" t="s">
        <v>384</v>
      </c>
      <c r="C49" s="38" t="s">
        <v>385</v>
      </c>
      <c r="D49" s="188">
        <v>7.82</v>
      </c>
      <c r="E49" s="188"/>
      <c r="F49" s="188">
        <v>8.68</v>
      </c>
      <c r="G49" s="188"/>
      <c r="H49" s="188">
        <v>100.80973140000002</v>
      </c>
      <c r="I49" s="188"/>
      <c r="J49" s="188">
        <v>1204.1118180000001</v>
      </c>
      <c r="K49" s="188"/>
      <c r="L49" s="188">
        <v>10.997442455242959</v>
      </c>
      <c r="M49" s="188"/>
      <c r="N49" s="188">
        <v>0.17258001076192506</v>
      </c>
      <c r="O49" s="189"/>
    </row>
    <row r="50" spans="1:15" ht="15.75" thickBot="1" x14ac:dyDescent="0.3">
      <c r="A50" s="128" t="s">
        <v>391</v>
      </c>
      <c r="B50" s="190" t="s">
        <v>385</v>
      </c>
      <c r="C50" s="190" t="s">
        <v>384</v>
      </c>
      <c r="D50" s="191"/>
      <c r="E50" s="191">
        <v>3.53</v>
      </c>
      <c r="F50" s="191"/>
      <c r="G50" s="191">
        <v>3.71</v>
      </c>
      <c r="H50" s="191"/>
      <c r="I50" s="191">
        <v>29.932327889999996</v>
      </c>
      <c r="J50" s="191"/>
      <c r="K50" s="191">
        <v>369.44040000000001</v>
      </c>
      <c r="L50" s="191"/>
      <c r="M50" s="191">
        <v>5.0991501416430642</v>
      </c>
      <c r="N50" s="191"/>
      <c r="O50" s="192">
        <v>0.13488371978691435</v>
      </c>
    </row>
    <row r="51" spans="1:15" ht="15.75" thickBot="1" x14ac:dyDescent="0.3"/>
    <row r="52" spans="1:15" x14ac:dyDescent="0.25">
      <c r="A52" s="173" t="s">
        <v>43</v>
      </c>
      <c r="B52" s="193" t="s">
        <v>479</v>
      </c>
      <c r="C52" s="177"/>
      <c r="D52" s="178"/>
      <c r="E52" s="178"/>
      <c r="F52" s="179"/>
      <c r="G52" s="179"/>
      <c r="H52" s="179"/>
      <c r="I52" s="179"/>
      <c r="J52" s="179"/>
      <c r="K52" s="179"/>
      <c r="L52" s="179"/>
      <c r="M52" s="179"/>
      <c r="N52" s="179"/>
      <c r="O52" s="180"/>
    </row>
    <row r="53" spans="1:15" x14ac:dyDescent="0.25">
      <c r="A53" s="124" t="s">
        <v>0</v>
      </c>
      <c r="B53" s="3" t="s">
        <v>1</v>
      </c>
      <c r="C53" s="3" t="s">
        <v>2</v>
      </c>
      <c r="D53" s="194" t="s">
        <v>369</v>
      </c>
      <c r="E53" s="194" t="s">
        <v>370</v>
      </c>
      <c r="F53" s="194" t="s">
        <v>371</v>
      </c>
      <c r="G53" s="194" t="s">
        <v>372</v>
      </c>
      <c r="H53" s="61" t="s">
        <v>474</v>
      </c>
      <c r="I53" s="61" t="s">
        <v>483</v>
      </c>
      <c r="J53" s="61" t="s">
        <v>484</v>
      </c>
      <c r="K53" s="61" t="s">
        <v>475</v>
      </c>
      <c r="L53" s="61" t="s">
        <v>476</v>
      </c>
      <c r="M53" s="61" t="s">
        <v>477</v>
      </c>
      <c r="N53" s="3"/>
      <c r="O53" s="125"/>
    </row>
    <row r="54" spans="1:15" x14ac:dyDescent="0.25">
      <c r="A54" s="174" t="s">
        <v>10</v>
      </c>
      <c r="B54" s="4">
        <v>59</v>
      </c>
      <c r="C54" s="4" t="s">
        <v>6</v>
      </c>
      <c r="D54" s="195">
        <v>4.78</v>
      </c>
      <c r="E54" s="195">
        <v>4.9800000000000004</v>
      </c>
      <c r="F54" s="195">
        <v>4.96</v>
      </c>
      <c r="G54" s="195">
        <v>5.37</v>
      </c>
      <c r="H54" s="196">
        <v>1.5644405465033646</v>
      </c>
      <c r="I54" s="196">
        <v>1.6054298910365616</v>
      </c>
      <c r="J54" s="196">
        <v>1.6014057407368361</v>
      </c>
      <c r="K54" s="196">
        <v>1.6808279085207734</v>
      </c>
      <c r="L54" s="196">
        <v>3.6965194233471402E-2</v>
      </c>
      <c r="M54" s="196">
        <v>7.539801748421171E-2</v>
      </c>
      <c r="N54" s="47"/>
      <c r="O54" s="182"/>
    </row>
    <row r="55" spans="1:15" x14ac:dyDescent="0.25">
      <c r="A55" s="174" t="s">
        <v>18</v>
      </c>
      <c r="B55" s="4">
        <v>48</v>
      </c>
      <c r="C55" s="4" t="s">
        <v>6</v>
      </c>
      <c r="D55" s="195">
        <v>6.4</v>
      </c>
      <c r="E55" s="195">
        <v>6.61</v>
      </c>
      <c r="F55" s="195">
        <v>6.72</v>
      </c>
      <c r="G55" s="195">
        <v>7.18</v>
      </c>
      <c r="H55" s="196">
        <v>1.8562979903656263</v>
      </c>
      <c r="I55" s="196">
        <v>1.8885836538635949</v>
      </c>
      <c r="J55" s="196">
        <v>1.9050881545350582</v>
      </c>
      <c r="K55" s="196">
        <v>1.9712993830601329</v>
      </c>
      <c r="L55" s="196">
        <v>4.8790164169431938E-2</v>
      </c>
      <c r="M55" s="196">
        <v>8.2715729196537913E-2</v>
      </c>
      <c r="N55" s="47"/>
      <c r="O55" s="182"/>
    </row>
    <row r="56" spans="1:15" x14ac:dyDescent="0.25">
      <c r="A56" s="175" t="s">
        <v>20</v>
      </c>
      <c r="B56" s="21">
        <v>44</v>
      </c>
      <c r="C56" s="21" t="s">
        <v>6</v>
      </c>
      <c r="D56" s="4"/>
      <c r="E56" s="4"/>
      <c r="F56" s="4"/>
      <c r="G56" s="4"/>
      <c r="H56" s="5"/>
      <c r="I56" s="5"/>
      <c r="J56" s="5"/>
      <c r="K56" s="5"/>
      <c r="L56" s="4"/>
      <c r="M56" s="4"/>
      <c r="N56" s="47"/>
      <c r="O56" s="182"/>
    </row>
    <row r="57" spans="1:15" x14ac:dyDescent="0.25">
      <c r="A57" s="174" t="s">
        <v>21</v>
      </c>
      <c r="B57" s="4">
        <v>63</v>
      </c>
      <c r="C57" s="4" t="s">
        <v>6</v>
      </c>
      <c r="D57" s="195">
        <v>5.93</v>
      </c>
      <c r="E57" s="195">
        <v>5.86</v>
      </c>
      <c r="F57" s="195">
        <v>6.16</v>
      </c>
      <c r="G57" s="195">
        <v>6.38</v>
      </c>
      <c r="H57" s="196">
        <v>1.780024213009634</v>
      </c>
      <c r="I57" s="196">
        <v>1.7681496035889213</v>
      </c>
      <c r="J57" s="196">
        <v>1.8180767775454285</v>
      </c>
      <c r="K57" s="196">
        <v>1.8531680973566984</v>
      </c>
      <c r="L57" s="196">
        <v>3.8052564535794531E-2</v>
      </c>
      <c r="M57" s="196">
        <v>8.5018493767777148E-2</v>
      </c>
      <c r="N57" s="47"/>
      <c r="O57" s="182"/>
    </row>
    <row r="58" spans="1:15" x14ac:dyDescent="0.25">
      <c r="A58" s="174" t="s">
        <v>24</v>
      </c>
      <c r="B58" s="4">
        <v>54</v>
      </c>
      <c r="C58" s="4" t="s">
        <v>6</v>
      </c>
      <c r="D58" s="195">
        <v>5.68</v>
      </c>
      <c r="E58" s="195">
        <v>5.58</v>
      </c>
      <c r="F58" s="195">
        <v>5.82</v>
      </c>
      <c r="G58" s="195">
        <v>6.03</v>
      </c>
      <c r="H58" s="196">
        <v>1.7369512327330598</v>
      </c>
      <c r="I58" s="196">
        <v>1.7191887763932197</v>
      </c>
      <c r="J58" s="196">
        <v>1.7613002617433464</v>
      </c>
      <c r="K58" s="196">
        <v>1.7967470107390942</v>
      </c>
      <c r="L58" s="196">
        <v>2.4349029010286571E-2</v>
      </c>
      <c r="M58" s="196">
        <v>7.7558234345874499E-2</v>
      </c>
      <c r="N58" s="47"/>
      <c r="O58" s="182"/>
    </row>
    <row r="59" spans="1:15" x14ac:dyDescent="0.25">
      <c r="A59" s="174" t="s">
        <v>25</v>
      </c>
      <c r="B59" s="4">
        <v>52</v>
      </c>
      <c r="C59" s="4" t="s">
        <v>6</v>
      </c>
      <c r="D59" s="195">
        <v>4.32</v>
      </c>
      <c r="E59" s="195">
        <v>4.12</v>
      </c>
      <c r="F59" s="195">
        <v>4.2699999999999996</v>
      </c>
      <c r="G59" s="195">
        <v>4.26</v>
      </c>
      <c r="H59" s="196">
        <v>1.4632554022560189</v>
      </c>
      <c r="I59" s="196">
        <v>1.4158531633614351</v>
      </c>
      <c r="J59" s="196">
        <v>1.451613827240533</v>
      </c>
      <c r="K59" s="196">
        <v>1.4492691602812791</v>
      </c>
      <c r="L59" s="196">
        <v>-1.1641575015485905E-2</v>
      </c>
      <c r="M59" s="196">
        <v>3.3415996919843982E-2</v>
      </c>
      <c r="N59" s="47"/>
      <c r="O59" s="182"/>
    </row>
    <row r="60" spans="1:15" x14ac:dyDescent="0.25">
      <c r="A60" s="174" t="s">
        <v>31</v>
      </c>
      <c r="B60" s="4">
        <v>57</v>
      </c>
      <c r="C60" s="4" t="s">
        <v>6</v>
      </c>
      <c r="D60" s="195">
        <v>6.16</v>
      </c>
      <c r="E60" s="195">
        <v>6.07</v>
      </c>
      <c r="F60" s="195">
        <v>6.34</v>
      </c>
      <c r="G60" s="195">
        <v>6.27</v>
      </c>
      <c r="H60" s="196">
        <v>1.8180767775454285</v>
      </c>
      <c r="I60" s="196">
        <v>1.803358605071407</v>
      </c>
      <c r="J60" s="196">
        <v>1.8468787684491346</v>
      </c>
      <c r="K60" s="196">
        <v>1.8357763546448294</v>
      </c>
      <c r="L60" s="196">
        <v>2.8801990903706054E-2</v>
      </c>
      <c r="M60" s="196">
        <v>3.2417749573422361E-2</v>
      </c>
      <c r="N60" s="47"/>
      <c r="O60" s="182"/>
    </row>
    <row r="61" spans="1:15" x14ac:dyDescent="0.25">
      <c r="A61" s="174" t="s">
        <v>32</v>
      </c>
      <c r="B61" s="4">
        <v>61</v>
      </c>
      <c r="C61" s="4" t="s">
        <v>6</v>
      </c>
      <c r="D61" s="195">
        <v>5.41</v>
      </c>
      <c r="E61" s="195">
        <v>5.47</v>
      </c>
      <c r="F61" s="195">
        <v>5.9</v>
      </c>
      <c r="G61" s="195">
        <v>5.92</v>
      </c>
      <c r="H61" s="196">
        <v>1.6882490928583902</v>
      </c>
      <c r="I61" s="196">
        <v>1.6992786164338898</v>
      </c>
      <c r="J61" s="196">
        <v>1.7749523509116738</v>
      </c>
      <c r="K61" s="196">
        <v>1.7783364488959144</v>
      </c>
      <c r="L61" s="196">
        <v>8.6703258053283605E-2</v>
      </c>
      <c r="M61" s="196">
        <v>7.905783246202458E-2</v>
      </c>
      <c r="N61" s="47"/>
      <c r="O61" s="182"/>
    </row>
    <row r="62" spans="1:15" x14ac:dyDescent="0.25">
      <c r="A62" s="174" t="s">
        <v>7</v>
      </c>
      <c r="B62" s="4">
        <v>42</v>
      </c>
      <c r="C62" s="4" t="s">
        <v>4</v>
      </c>
      <c r="D62" s="195">
        <v>8.83</v>
      </c>
      <c r="E62" s="195">
        <v>8.9</v>
      </c>
      <c r="F62" s="195">
        <v>9.0500000000000007</v>
      </c>
      <c r="G62" s="195">
        <v>9.52</v>
      </c>
      <c r="H62" s="196">
        <v>2.1781550146158688</v>
      </c>
      <c r="I62" s="196">
        <v>2.1860512767380942</v>
      </c>
      <c r="J62" s="196">
        <v>2.2027647577118348</v>
      </c>
      <c r="K62" s="196">
        <v>2.253394848803274</v>
      </c>
      <c r="L62" s="196">
        <v>2.4609743095965975E-2</v>
      </c>
      <c r="M62" s="196">
        <v>6.7343572065179824E-2</v>
      </c>
      <c r="N62" s="47"/>
      <c r="O62" s="182"/>
    </row>
    <row r="63" spans="1:15" x14ac:dyDescent="0.25">
      <c r="A63" s="174" t="s">
        <v>8</v>
      </c>
      <c r="B63" s="4">
        <v>55</v>
      </c>
      <c r="C63" s="4" t="s">
        <v>4</v>
      </c>
      <c r="D63" s="195">
        <v>7.82</v>
      </c>
      <c r="E63" s="195">
        <v>7.75</v>
      </c>
      <c r="F63" s="195">
        <v>8.2799999999999994</v>
      </c>
      <c r="G63" s="195">
        <v>8.6199999999999992</v>
      </c>
      <c r="H63" s="196">
        <v>2.0566845545572199</v>
      </c>
      <c r="I63" s="196">
        <v>2.0476928433652555</v>
      </c>
      <c r="J63" s="196">
        <v>2.1138429683971682</v>
      </c>
      <c r="K63" s="196">
        <v>2.1540850846756014</v>
      </c>
      <c r="L63" s="196">
        <v>5.7158413839948352E-2</v>
      </c>
      <c r="M63" s="196">
        <v>0.10639224131034597</v>
      </c>
      <c r="N63" s="47"/>
      <c r="O63" s="182"/>
    </row>
    <row r="64" spans="1:15" x14ac:dyDescent="0.25">
      <c r="A64" s="174" t="s">
        <v>13</v>
      </c>
      <c r="B64" s="4">
        <v>44</v>
      </c>
      <c r="C64" s="4" t="s">
        <v>4</v>
      </c>
      <c r="D64" s="4"/>
      <c r="E64" s="4"/>
      <c r="F64" s="4"/>
      <c r="G64" s="4"/>
      <c r="H64" s="5"/>
      <c r="I64" s="5"/>
      <c r="J64" s="5"/>
      <c r="K64" s="5"/>
      <c r="L64" s="4"/>
      <c r="M64" s="4"/>
      <c r="N64" s="47"/>
      <c r="O64" s="182"/>
    </row>
    <row r="65" spans="1:15" x14ac:dyDescent="0.25">
      <c r="A65" s="174" t="s">
        <v>16</v>
      </c>
      <c r="B65" s="4">
        <v>64</v>
      </c>
      <c r="C65" s="4" t="s">
        <v>4</v>
      </c>
      <c r="D65" s="195">
        <v>6.9</v>
      </c>
      <c r="E65" s="195">
        <v>6.73</v>
      </c>
      <c r="F65" s="195">
        <v>6.98</v>
      </c>
      <c r="G65" s="195">
        <v>7.23</v>
      </c>
      <c r="H65" s="196">
        <v>1.9315214116032138</v>
      </c>
      <c r="I65" s="196">
        <v>1.9065751436566365</v>
      </c>
      <c r="J65" s="196">
        <v>1.9430489167742813</v>
      </c>
      <c r="K65" s="196">
        <v>1.9782390361706734</v>
      </c>
      <c r="L65" s="196">
        <v>1.1527505171067487E-2</v>
      </c>
      <c r="M65" s="196">
        <v>7.1663892514036931E-2</v>
      </c>
      <c r="N65" s="47"/>
      <c r="O65" s="182"/>
    </row>
    <row r="66" spans="1:15" x14ac:dyDescent="0.25">
      <c r="A66" s="174" t="s">
        <v>17</v>
      </c>
      <c r="B66" s="4">
        <v>69</v>
      </c>
      <c r="C66" s="4" t="s">
        <v>4</v>
      </c>
      <c r="D66" s="195">
        <v>6.63</v>
      </c>
      <c r="E66" s="195">
        <v>6.7</v>
      </c>
      <c r="F66" s="195">
        <v>6.86</v>
      </c>
      <c r="G66" s="195">
        <v>7.25</v>
      </c>
      <c r="H66" s="196">
        <v>1.8916048041977711</v>
      </c>
      <c r="I66" s="196">
        <v>1.9021075263969205</v>
      </c>
      <c r="J66" s="196">
        <v>1.925707441737794</v>
      </c>
      <c r="K66" s="196">
        <v>1.9810014688665833</v>
      </c>
      <c r="L66" s="196">
        <v>3.4102637540022851E-2</v>
      </c>
      <c r="M66" s="196">
        <v>7.8893942469662859E-2</v>
      </c>
      <c r="N66" s="47"/>
      <c r="O66" s="182"/>
    </row>
    <row r="67" spans="1:15" x14ac:dyDescent="0.25">
      <c r="A67" s="174" t="s">
        <v>30</v>
      </c>
      <c r="B67" s="4">
        <v>50</v>
      </c>
      <c r="C67" s="4" t="s">
        <v>4</v>
      </c>
      <c r="D67" s="4"/>
      <c r="E67" s="4"/>
      <c r="F67" s="4"/>
      <c r="G67" s="4"/>
      <c r="H67" s="5"/>
      <c r="I67" s="5"/>
      <c r="J67" s="5"/>
      <c r="K67" s="5"/>
      <c r="L67" s="4"/>
      <c r="M67" s="4"/>
      <c r="N67" s="47"/>
      <c r="O67" s="182"/>
    </row>
    <row r="68" spans="1:15" x14ac:dyDescent="0.25">
      <c r="A68" s="174" t="s">
        <v>149</v>
      </c>
      <c r="B68" s="4">
        <v>63</v>
      </c>
      <c r="C68" s="4" t="s">
        <v>4</v>
      </c>
      <c r="D68" s="4"/>
      <c r="E68" s="4"/>
      <c r="F68" s="4"/>
      <c r="G68" s="4"/>
      <c r="H68" s="5"/>
      <c r="I68" s="5"/>
      <c r="J68" s="5"/>
      <c r="K68" s="5"/>
      <c r="L68" s="4"/>
      <c r="M68" s="4"/>
      <c r="N68" s="47"/>
      <c r="O68" s="182"/>
    </row>
    <row r="69" spans="1:15" x14ac:dyDescent="0.25">
      <c r="A69" s="124" t="s">
        <v>33</v>
      </c>
      <c r="B69" s="8">
        <f>AVERAGE(B54:B68)</f>
        <v>55</v>
      </c>
      <c r="C69" s="8"/>
      <c r="D69" s="94">
        <f t="shared" ref="D69:M69" si="6">AVERAGE(D54:D68)</f>
        <v>6.2599999999999989</v>
      </c>
      <c r="E69" s="94">
        <f t="shared" si="6"/>
        <v>6.2518181818181811</v>
      </c>
      <c r="F69" s="94">
        <f t="shared" si="6"/>
        <v>6.4854545454545454</v>
      </c>
      <c r="G69" s="94">
        <f t="shared" si="6"/>
        <v>6.7299999999999986</v>
      </c>
      <c r="H69" s="94">
        <f t="shared" si="6"/>
        <v>1.8150237309314179</v>
      </c>
      <c r="I69" s="94">
        <f t="shared" si="6"/>
        <v>1.8129335545369036</v>
      </c>
      <c r="J69" s="94">
        <f t="shared" si="6"/>
        <v>1.8495163605257352</v>
      </c>
      <c r="K69" s="94">
        <f t="shared" si="6"/>
        <v>1.8847404365468046</v>
      </c>
      <c r="L69" s="7">
        <f t="shared" si="6"/>
        <v>3.449262959431753E-2</v>
      </c>
      <c r="M69" s="7">
        <f t="shared" si="6"/>
        <v>7.180688200990161E-2</v>
      </c>
      <c r="N69" s="7"/>
      <c r="O69" s="127"/>
    </row>
    <row r="70" spans="1:15" x14ac:dyDescent="0.25">
      <c r="A70" s="124" t="s">
        <v>34</v>
      </c>
      <c r="B70" s="8">
        <f>STDEV(B54:B68)</f>
        <v>8.2635170651311842</v>
      </c>
      <c r="C70" s="8"/>
      <c r="D70" s="94">
        <f t="shared" ref="D70:M70" si="7">STDEV(D54:D68)</f>
        <v>1.2936923900216863</v>
      </c>
      <c r="E70" s="94">
        <f t="shared" si="7"/>
        <v>1.3125000432900416</v>
      </c>
      <c r="F70" s="94">
        <f t="shared" si="7"/>
        <v>1.3559156584121559</v>
      </c>
      <c r="G70" s="94">
        <f t="shared" si="7"/>
        <v>1.4666219690158795</v>
      </c>
      <c r="H70" s="94">
        <f t="shared" si="7"/>
        <v>0.2052653205734587</v>
      </c>
      <c r="I70" s="94">
        <f t="shared" si="7"/>
        <v>0.21007281071961711</v>
      </c>
      <c r="J70" s="94">
        <f t="shared" si="7"/>
        <v>0.21130953870999372</v>
      </c>
      <c r="K70" s="94">
        <f t="shared" si="7"/>
        <v>0.22082294669674005</v>
      </c>
      <c r="L70" s="7">
        <f t="shared" si="7"/>
        <v>2.5202688393840714E-2</v>
      </c>
      <c r="M70" s="7">
        <f t="shared" si="7"/>
        <v>2.1642040384365208E-2</v>
      </c>
      <c r="N70" s="7"/>
      <c r="O70" s="127"/>
    </row>
    <row r="71" spans="1:15" x14ac:dyDescent="0.25">
      <c r="A71" s="124" t="s">
        <v>160</v>
      </c>
      <c r="E71" s="149">
        <f>TTEST(D53:D68,E53:E68,2,1)</f>
        <v>0.84926373095923735</v>
      </c>
      <c r="G71" s="149">
        <f>TTEST(F53:F68,G53:G68,2,1)</f>
        <v>1.7954618993182004E-3</v>
      </c>
      <c r="I71" s="149">
        <f>TTEST(H53:H68,I53:I68,2,1)</f>
        <v>0.79264734353804311</v>
      </c>
      <c r="K71" s="149">
        <f>TTEST(J53:J68,K53:K68,2,1)</f>
        <v>2.1718681153729213E-3</v>
      </c>
      <c r="M71" s="149">
        <f>TTEST(L53:L68,M53:M68,2,1)</f>
        <v>1.409094354151259E-4</v>
      </c>
      <c r="O71" s="185"/>
    </row>
    <row r="72" spans="1:15" x14ac:dyDescent="0.25">
      <c r="A72" s="121"/>
      <c r="B72" s="4"/>
      <c r="C72" s="4"/>
      <c r="O72" s="123"/>
    </row>
    <row r="73" spans="1:15" x14ac:dyDescent="0.25">
      <c r="A73" s="174" t="s">
        <v>44</v>
      </c>
      <c r="O73" s="123"/>
    </row>
    <row r="74" spans="1:15" x14ac:dyDescent="0.25">
      <c r="A74" s="124" t="s">
        <v>0</v>
      </c>
      <c r="B74" s="3" t="s">
        <v>1</v>
      </c>
      <c r="C74" s="3" t="s">
        <v>2</v>
      </c>
      <c r="D74" s="194" t="s">
        <v>369</v>
      </c>
      <c r="E74" s="194" t="s">
        <v>370</v>
      </c>
      <c r="F74" s="194" t="s">
        <v>371</v>
      </c>
      <c r="G74" s="194" t="s">
        <v>372</v>
      </c>
      <c r="H74" s="61" t="s">
        <v>474</v>
      </c>
      <c r="I74" s="61" t="s">
        <v>483</v>
      </c>
      <c r="J74" s="61" t="s">
        <v>484</v>
      </c>
      <c r="K74" s="61" t="s">
        <v>475</v>
      </c>
      <c r="L74" s="61" t="s">
        <v>476</v>
      </c>
      <c r="M74" s="61" t="s">
        <v>477</v>
      </c>
      <c r="N74" s="3"/>
      <c r="O74" s="125"/>
    </row>
    <row r="75" spans="1:15" x14ac:dyDescent="0.25">
      <c r="A75" s="174" t="s">
        <v>5</v>
      </c>
      <c r="B75" s="4">
        <v>51</v>
      </c>
      <c r="C75" s="4" t="s">
        <v>6</v>
      </c>
      <c r="D75" s="195">
        <v>4.29</v>
      </c>
      <c r="E75" s="195">
        <v>4.63</v>
      </c>
      <c r="F75" s="195">
        <v>4.58</v>
      </c>
      <c r="G75" s="195">
        <v>5.26</v>
      </c>
      <c r="H75" s="196">
        <v>1.4562867329399256</v>
      </c>
      <c r="I75" s="196">
        <v>1.5325568680981427</v>
      </c>
      <c r="J75" s="196">
        <v>1.5216989981260935</v>
      </c>
      <c r="K75" s="196">
        <v>1.6601310267496185</v>
      </c>
      <c r="L75" s="196">
        <v>6.5412265186167939E-2</v>
      </c>
      <c r="M75" s="196">
        <v>0.12757415865147581</v>
      </c>
      <c r="N75" s="43"/>
      <c r="O75" s="118"/>
    </row>
    <row r="76" spans="1:15" x14ac:dyDescent="0.25">
      <c r="A76" s="174" t="s">
        <v>14</v>
      </c>
      <c r="B76" s="4">
        <v>55</v>
      </c>
      <c r="C76" s="4" t="s">
        <v>6</v>
      </c>
      <c r="D76" s="195">
        <v>4.66</v>
      </c>
      <c r="E76" s="195">
        <v>4.5199999999999996</v>
      </c>
      <c r="F76" s="195">
        <v>4.99</v>
      </c>
      <c r="G76" s="195">
        <v>5.0599999999999996</v>
      </c>
      <c r="H76" s="196">
        <v>1.5390154481375546</v>
      </c>
      <c r="I76" s="196">
        <v>1.5085119938441398</v>
      </c>
      <c r="J76" s="196">
        <v>1.6074359097634274</v>
      </c>
      <c r="K76" s="196">
        <v>1.6213664832993742</v>
      </c>
      <c r="L76" s="196">
        <v>6.8420461625872786E-2</v>
      </c>
      <c r="M76" s="196">
        <v>0.11285448945523435</v>
      </c>
      <c r="N76" s="43"/>
      <c r="O76" s="118"/>
    </row>
    <row r="77" spans="1:15" x14ac:dyDescent="0.25">
      <c r="A77" s="174" t="s">
        <v>19</v>
      </c>
      <c r="B77" s="4">
        <v>53</v>
      </c>
      <c r="C77" s="4" t="s">
        <v>6</v>
      </c>
      <c r="D77" s="195">
        <v>5.52</v>
      </c>
      <c r="E77" s="195">
        <v>5.39</v>
      </c>
      <c r="F77" s="195">
        <v>5.76</v>
      </c>
      <c r="G77" s="195">
        <v>6.03</v>
      </c>
      <c r="H77" s="196">
        <v>1.7083778602890038</v>
      </c>
      <c r="I77" s="196">
        <v>1.6845453849209058</v>
      </c>
      <c r="J77" s="196">
        <v>1.7509374747077999</v>
      </c>
      <c r="K77" s="196">
        <v>1.7967470107390942</v>
      </c>
      <c r="L77" s="196">
        <v>4.2559614418796077E-2</v>
      </c>
      <c r="M77" s="196">
        <v>0.11220162581818838</v>
      </c>
      <c r="N77" s="43"/>
      <c r="O77" s="118"/>
    </row>
    <row r="78" spans="1:15" x14ac:dyDescent="0.25">
      <c r="A78" s="174" t="s">
        <v>22</v>
      </c>
      <c r="B78" s="4">
        <v>55</v>
      </c>
      <c r="C78" s="4" t="s">
        <v>6</v>
      </c>
      <c r="D78" s="195">
        <v>6.7</v>
      </c>
      <c r="E78" s="195">
        <v>6.66</v>
      </c>
      <c r="F78" s="195">
        <v>6.84</v>
      </c>
      <c r="G78" s="195">
        <v>7.06</v>
      </c>
      <c r="H78" s="196">
        <v>1.9021075263969205</v>
      </c>
      <c r="I78" s="196">
        <v>1.8961194845522977</v>
      </c>
      <c r="J78" s="196">
        <v>1.922787731634459</v>
      </c>
      <c r="K78" s="196">
        <v>1.9544450515051506</v>
      </c>
      <c r="L78" s="196">
        <v>2.0680205237538551E-2</v>
      </c>
      <c r="M78" s="196">
        <v>5.8325566952852848E-2</v>
      </c>
      <c r="N78" s="43"/>
      <c r="O78" s="118"/>
    </row>
    <row r="79" spans="1:15" x14ac:dyDescent="0.25">
      <c r="A79" s="174" t="s">
        <v>26</v>
      </c>
      <c r="B79" s="4">
        <v>54</v>
      </c>
      <c r="C79" s="4" t="s">
        <v>6</v>
      </c>
      <c r="D79" s="195">
        <v>4.78</v>
      </c>
      <c r="E79" s="195">
        <v>4.88</v>
      </c>
      <c r="F79" s="195">
        <v>5.21</v>
      </c>
      <c r="G79" s="195">
        <v>5.4</v>
      </c>
      <c r="H79" s="196">
        <v>1.5644405465033646</v>
      </c>
      <c r="I79" s="196">
        <v>1.5851452198650557</v>
      </c>
      <c r="J79" s="196">
        <v>1.6505798557652755</v>
      </c>
      <c r="K79" s="196">
        <v>1.6863989535702288</v>
      </c>
      <c r="L79" s="196">
        <v>8.6139309261910935E-2</v>
      </c>
      <c r="M79" s="196">
        <v>0.1012537337051731</v>
      </c>
      <c r="N79" s="43"/>
      <c r="O79" s="118"/>
    </row>
    <row r="80" spans="1:15" x14ac:dyDescent="0.25">
      <c r="A80" s="175" t="s">
        <v>42</v>
      </c>
      <c r="B80" s="21">
        <v>59</v>
      </c>
      <c r="C80" s="21" t="s">
        <v>6</v>
      </c>
      <c r="D80" s="4"/>
      <c r="E80" s="4"/>
      <c r="F80" s="4"/>
      <c r="G80" s="4"/>
      <c r="H80" s="5"/>
      <c r="I80" s="5"/>
      <c r="J80" s="5"/>
      <c r="K80" s="5"/>
      <c r="L80" s="4"/>
      <c r="M80" s="4"/>
      <c r="N80" s="4"/>
      <c r="O80" s="186"/>
    </row>
    <row r="81" spans="1:16" x14ac:dyDescent="0.25">
      <c r="A81" s="174" t="s">
        <v>28</v>
      </c>
      <c r="B81" s="4">
        <v>70</v>
      </c>
      <c r="C81" s="4" t="s">
        <v>6</v>
      </c>
      <c r="D81" s="195">
        <v>4.5199999999999996</v>
      </c>
      <c r="E81" s="195">
        <v>4.3899999999999997</v>
      </c>
      <c r="F81" s="195">
        <v>4.76</v>
      </c>
      <c r="G81" s="195">
        <v>4.53</v>
      </c>
      <c r="H81" s="196">
        <v>1.5085119938441398</v>
      </c>
      <c r="I81" s="196">
        <v>1.4793292270870799</v>
      </c>
      <c r="J81" s="196">
        <v>1.5602476682433286</v>
      </c>
      <c r="K81" s="196">
        <v>1.5107219394949427</v>
      </c>
      <c r="L81" s="196">
        <v>5.1735674399188802E-2</v>
      </c>
      <c r="M81" s="196">
        <v>3.1392712407862788E-2</v>
      </c>
      <c r="N81" s="43"/>
      <c r="O81" s="118"/>
    </row>
    <row r="82" spans="1:16" x14ac:dyDescent="0.25">
      <c r="A82" s="174" t="s">
        <v>150</v>
      </c>
      <c r="B82" s="4">
        <v>60</v>
      </c>
      <c r="C82" s="4" t="s">
        <v>6</v>
      </c>
      <c r="D82" s="4"/>
      <c r="E82" s="4"/>
      <c r="F82" s="4"/>
      <c r="G82" s="4"/>
      <c r="H82" s="5"/>
      <c r="I82" s="5"/>
      <c r="J82" s="5"/>
      <c r="K82" s="5"/>
      <c r="L82" s="4"/>
      <c r="M82" s="4"/>
      <c r="N82" s="4"/>
      <c r="O82" s="186"/>
    </row>
    <row r="83" spans="1:16" x14ac:dyDescent="0.25">
      <c r="A83" s="174" t="s">
        <v>3</v>
      </c>
      <c r="B83" s="4">
        <v>45</v>
      </c>
      <c r="C83" s="4" t="s">
        <v>4</v>
      </c>
      <c r="D83" s="4"/>
      <c r="E83" s="4"/>
      <c r="F83" s="4"/>
      <c r="G83" s="4"/>
      <c r="H83" s="5"/>
      <c r="I83" s="5"/>
      <c r="J83" s="5"/>
      <c r="K83" s="5"/>
      <c r="L83" s="4"/>
      <c r="M83" s="4"/>
      <c r="N83" s="4"/>
      <c r="O83" s="186"/>
    </row>
    <row r="84" spans="1:16" x14ac:dyDescent="0.25">
      <c r="A84" s="174" t="s">
        <v>9</v>
      </c>
      <c r="B84" s="4">
        <v>56</v>
      </c>
      <c r="C84" s="4" t="s">
        <v>4</v>
      </c>
      <c r="D84" s="195">
        <v>7.66</v>
      </c>
      <c r="E84" s="195">
        <v>7.64</v>
      </c>
      <c r="F84" s="195">
        <v>7.84</v>
      </c>
      <c r="G84" s="195">
        <v>8.07</v>
      </c>
      <c r="H84" s="196">
        <v>2.0360119837525001</v>
      </c>
      <c r="I84" s="196">
        <v>2.0333976031784289</v>
      </c>
      <c r="J84" s="196">
        <v>2.0592388343623163</v>
      </c>
      <c r="K84" s="196">
        <v>2.0881534822818573</v>
      </c>
      <c r="L84" s="196">
        <v>2.3226850609816108E-2</v>
      </c>
      <c r="M84" s="196">
        <v>5.4755879103428384E-2</v>
      </c>
      <c r="N84" s="43"/>
      <c r="O84" s="118"/>
    </row>
    <row r="85" spans="1:16" x14ac:dyDescent="0.25">
      <c r="A85" s="174" t="s">
        <v>11</v>
      </c>
      <c r="B85" s="4">
        <v>53</v>
      </c>
      <c r="C85" s="4" t="s">
        <v>4</v>
      </c>
      <c r="D85" s="195">
        <v>8.02</v>
      </c>
      <c r="E85" s="195">
        <v>8.1199999999999992</v>
      </c>
      <c r="F85" s="195">
        <v>8.34</v>
      </c>
      <c r="G85" s="195">
        <v>8.81</v>
      </c>
      <c r="H85" s="196">
        <v>2.0819384218784229</v>
      </c>
      <c r="I85" s="196">
        <v>2.0943301541735866</v>
      </c>
      <c r="J85" s="196">
        <v>2.1210632163706555</v>
      </c>
      <c r="K85" s="196">
        <v>2.1758874399480881</v>
      </c>
      <c r="L85" s="196">
        <v>3.9124794492232606E-2</v>
      </c>
      <c r="M85" s="196">
        <v>8.1557285774501498E-2</v>
      </c>
      <c r="N85" s="43"/>
      <c r="O85" s="118"/>
    </row>
    <row r="86" spans="1:16" x14ac:dyDescent="0.25">
      <c r="A86" s="174" t="s">
        <v>12</v>
      </c>
      <c r="B86" s="4">
        <v>46</v>
      </c>
      <c r="C86" s="4" t="s">
        <v>4</v>
      </c>
      <c r="D86" s="4"/>
      <c r="E86" s="4"/>
      <c r="F86" s="4"/>
      <c r="G86" s="4"/>
      <c r="H86" s="5"/>
      <c r="I86" s="5"/>
      <c r="J86" s="5"/>
      <c r="K86" s="5"/>
      <c r="L86" s="4"/>
      <c r="M86" s="4"/>
      <c r="N86" s="4"/>
      <c r="O86" s="186"/>
    </row>
    <row r="87" spans="1:16" x14ac:dyDescent="0.25">
      <c r="A87" s="174" t="s">
        <v>23</v>
      </c>
      <c r="B87" s="4">
        <v>60</v>
      </c>
      <c r="C87" s="4" t="s">
        <v>4</v>
      </c>
      <c r="D87" s="195">
        <v>6.69</v>
      </c>
      <c r="E87" s="195">
        <v>6.83</v>
      </c>
      <c r="F87" s="195">
        <v>7.03</v>
      </c>
      <c r="G87" s="195">
        <v>7.31</v>
      </c>
      <c r="H87" s="196">
        <v>1.900613874140137</v>
      </c>
      <c r="I87" s="196">
        <v>1.9213246735826988</v>
      </c>
      <c r="J87" s="196">
        <v>1.9501867058225735</v>
      </c>
      <c r="K87" s="196">
        <v>1.9892432737616872</v>
      </c>
      <c r="L87" s="196">
        <v>4.9572831682436425E-2</v>
      </c>
      <c r="M87" s="196">
        <v>6.7918600178988431E-2</v>
      </c>
      <c r="N87" s="43"/>
      <c r="O87" s="118"/>
    </row>
    <row r="88" spans="1:16" x14ac:dyDescent="0.25">
      <c r="A88" s="174" t="s">
        <v>27</v>
      </c>
      <c r="B88" s="4">
        <v>63</v>
      </c>
      <c r="C88" s="4" t="s">
        <v>4</v>
      </c>
      <c r="D88" s="195">
        <v>7.42</v>
      </c>
      <c r="E88" s="195">
        <v>7.49</v>
      </c>
      <c r="F88" s="195">
        <v>8.27</v>
      </c>
      <c r="G88" s="195">
        <v>8.2899999999999991</v>
      </c>
      <c r="H88" s="196">
        <v>2.004179057179289</v>
      </c>
      <c r="I88" s="196">
        <v>2.0135687975291283</v>
      </c>
      <c r="J88" s="196">
        <v>2.1126345090355998</v>
      </c>
      <c r="K88" s="196">
        <v>2.1150499691472033</v>
      </c>
      <c r="L88" s="196">
        <v>0.10845545185631078</v>
      </c>
      <c r="M88" s="196">
        <v>0.10148117161807502</v>
      </c>
      <c r="N88" s="43"/>
      <c r="O88" s="118"/>
    </row>
    <row r="89" spans="1:16" x14ac:dyDescent="0.25">
      <c r="A89" s="174" t="s">
        <v>29</v>
      </c>
      <c r="B89" s="4">
        <v>60</v>
      </c>
      <c r="C89" s="4" t="s">
        <v>4</v>
      </c>
      <c r="D89" s="4"/>
      <c r="E89" s="4"/>
      <c r="F89" s="4"/>
      <c r="G89" s="4"/>
      <c r="H89" s="5"/>
      <c r="I89" s="5"/>
      <c r="J89" s="5"/>
      <c r="K89" s="5"/>
      <c r="L89" s="4"/>
      <c r="M89" s="4"/>
      <c r="N89" s="4"/>
      <c r="O89" s="186"/>
    </row>
    <row r="90" spans="1:16" x14ac:dyDescent="0.25">
      <c r="A90" s="124" t="s">
        <v>33</v>
      </c>
      <c r="B90" s="8">
        <f>AVERAGE(B75:B89)</f>
        <v>56</v>
      </c>
      <c r="C90" s="8"/>
      <c r="D90" s="94">
        <f t="shared" ref="D90:M90" si="8">AVERAGE(D75:D89)</f>
        <v>6.0259999999999989</v>
      </c>
      <c r="E90" s="94">
        <f t="shared" si="8"/>
        <v>6.0549999999999997</v>
      </c>
      <c r="F90" s="94">
        <f t="shared" si="8"/>
        <v>6.3620000000000001</v>
      </c>
      <c r="G90" s="94">
        <f t="shared" si="8"/>
        <v>6.5820000000000007</v>
      </c>
      <c r="H90" s="94">
        <f t="shared" si="8"/>
        <v>1.7701483445061261</v>
      </c>
      <c r="I90" s="94">
        <f t="shared" si="8"/>
        <v>1.7748829406831461</v>
      </c>
      <c r="J90" s="94">
        <f t="shared" si="8"/>
        <v>1.8256810903831533</v>
      </c>
      <c r="K90" s="94">
        <f t="shared" si="8"/>
        <v>1.8598144630497249</v>
      </c>
      <c r="L90" s="7">
        <f t="shared" si="8"/>
        <v>5.5532745877027098E-2</v>
      </c>
      <c r="M90" s="7">
        <f t="shared" si="8"/>
        <v>8.4931522366578055E-2</v>
      </c>
      <c r="N90" s="7"/>
      <c r="O90" s="127"/>
    </row>
    <row r="91" spans="1:16" x14ac:dyDescent="0.25">
      <c r="A91" s="124" t="s">
        <v>34</v>
      </c>
      <c r="B91" s="8">
        <f>STDEV(B75:B89)</f>
        <v>6.3919592346277412</v>
      </c>
      <c r="C91" s="8"/>
      <c r="D91" s="94">
        <f t="shared" ref="D91:M91" si="9">STDEV(D75:D89)</f>
        <v>1.431418876499821</v>
      </c>
      <c r="E91" s="94">
        <f t="shared" si="9"/>
        <v>1.4446933546219722</v>
      </c>
      <c r="F91" s="94">
        <f t="shared" si="9"/>
        <v>1.4804638912629127</v>
      </c>
      <c r="G91" s="94">
        <f t="shared" si="9"/>
        <v>1.5213502774399674</v>
      </c>
      <c r="H91" s="94">
        <f t="shared" si="9"/>
        <v>0.24120479529721942</v>
      </c>
      <c r="I91" s="94">
        <f t="shared" si="9"/>
        <v>0.24110381649849824</v>
      </c>
      <c r="J91" s="94">
        <f t="shared" si="9"/>
        <v>0.2347129348249819</v>
      </c>
      <c r="K91" s="94">
        <f t="shared" si="9"/>
        <v>0.23464860478935445</v>
      </c>
      <c r="L91" s="7">
        <f t="shared" si="9"/>
        <v>2.7380253316216328E-2</v>
      </c>
      <c r="M91" s="7">
        <f t="shared" si="9"/>
        <v>3.1033541015253605E-2</v>
      </c>
      <c r="N91" s="7"/>
      <c r="O91" s="127"/>
    </row>
    <row r="92" spans="1:16" x14ac:dyDescent="0.25">
      <c r="A92" s="124" t="s">
        <v>160</v>
      </c>
      <c r="E92" s="149">
        <f>TTEST(D74:D89,E74:E89,2,1)</f>
        <v>0.56040138146971086</v>
      </c>
      <c r="G92" s="149">
        <f>TTEST(F74:F89,G74:G89,2,1)</f>
        <v>1.991580165176934E-2</v>
      </c>
      <c r="I92" s="149">
        <f>TTEST(H74:H89,I74:I89,2,1)</f>
        <v>0.6486846919128697</v>
      </c>
      <c r="K92" s="149">
        <f>TTEST(J74:J89,K74:K89,2,1)</f>
        <v>4.7420146557017623E-2</v>
      </c>
      <c r="M92" s="149">
        <f>TTEST(L74:L89,M74:M89,2,1)</f>
        <v>9.7186814268652756E-3</v>
      </c>
      <c r="O92" s="185"/>
    </row>
    <row r="93" spans="1:16" x14ac:dyDescent="0.25">
      <c r="A93" s="124"/>
      <c r="O93" s="123"/>
    </row>
    <row r="94" spans="1:16" x14ac:dyDescent="0.25">
      <c r="A94" s="121" t="s">
        <v>381</v>
      </c>
      <c r="B94" s="38" t="s">
        <v>243</v>
      </c>
      <c r="C94" s="38" t="s">
        <v>244</v>
      </c>
      <c r="D94" s="194" t="s">
        <v>369</v>
      </c>
      <c r="E94" s="194" t="s">
        <v>370</v>
      </c>
      <c r="F94" s="194" t="s">
        <v>371</v>
      </c>
      <c r="G94" s="194" t="s">
        <v>372</v>
      </c>
      <c r="H94" s="61" t="s">
        <v>474</v>
      </c>
      <c r="I94" s="61" t="s">
        <v>474</v>
      </c>
      <c r="J94" s="61" t="s">
        <v>475</v>
      </c>
      <c r="K94" s="61" t="s">
        <v>475</v>
      </c>
      <c r="L94" s="61" t="s">
        <v>476</v>
      </c>
      <c r="M94" s="61" t="s">
        <v>477</v>
      </c>
      <c r="O94" s="123"/>
    </row>
    <row r="95" spans="1:16" x14ac:dyDescent="0.25">
      <c r="A95" s="176" t="s">
        <v>3</v>
      </c>
      <c r="B95" s="38" t="s">
        <v>384</v>
      </c>
      <c r="C95" s="38" t="s">
        <v>385</v>
      </c>
      <c r="D95" s="195">
        <v>8.0299999999999994</v>
      </c>
      <c r="E95" s="195"/>
      <c r="F95" s="195">
        <v>8.42</v>
      </c>
      <c r="G95" s="195"/>
      <c r="H95" s="196">
        <v>2.0831845279586703</v>
      </c>
      <c r="I95" s="196"/>
      <c r="J95" s="196">
        <v>2.1306098282542352</v>
      </c>
      <c r="K95" s="196"/>
      <c r="L95" s="196">
        <v>4.7425300295564909E-2</v>
      </c>
      <c r="M95" s="196"/>
      <c r="N95" s="188"/>
      <c r="O95" s="123"/>
      <c r="P95" s="13"/>
    </row>
    <row r="96" spans="1:16" x14ac:dyDescent="0.25">
      <c r="A96" s="121" t="s">
        <v>386</v>
      </c>
      <c r="B96" s="38" t="s">
        <v>385</v>
      </c>
      <c r="C96" s="38" t="s">
        <v>384</v>
      </c>
      <c r="D96" s="195"/>
      <c r="E96" s="195">
        <v>5.8</v>
      </c>
      <c r="F96" s="195"/>
      <c r="G96" s="195">
        <v>6.15</v>
      </c>
      <c r="H96" s="196"/>
      <c r="I96" s="196">
        <v>1.7578579175523736</v>
      </c>
      <c r="J96" s="196"/>
      <c r="K96" s="196">
        <v>1.8164520818184267</v>
      </c>
      <c r="L96" s="196"/>
      <c r="M96" s="196">
        <v>5.8594164266053017E-2</v>
      </c>
      <c r="N96" s="188"/>
      <c r="O96" s="189"/>
    </row>
    <row r="97" spans="1:15" x14ac:dyDescent="0.25">
      <c r="A97" s="121" t="s">
        <v>387</v>
      </c>
      <c r="B97" s="38" t="s">
        <v>384</v>
      </c>
      <c r="C97" s="38" t="s">
        <v>385</v>
      </c>
      <c r="D97" s="195">
        <v>5.01</v>
      </c>
      <c r="E97" s="195"/>
      <c r="F97" s="195">
        <v>5.26</v>
      </c>
      <c r="G97" s="195"/>
      <c r="H97" s="196">
        <v>1.6114359150967734</v>
      </c>
      <c r="I97" s="196"/>
      <c r="J97" s="196">
        <v>1.6601310267496185</v>
      </c>
      <c r="K97" s="196"/>
      <c r="L97" s="196">
        <v>4.8695111652845124E-2</v>
      </c>
      <c r="M97" s="196"/>
      <c r="N97" s="188"/>
      <c r="O97" s="189"/>
    </row>
    <row r="98" spans="1:15" x14ac:dyDescent="0.25">
      <c r="A98" s="121" t="s">
        <v>388</v>
      </c>
      <c r="B98" s="38" t="s">
        <v>384</v>
      </c>
      <c r="C98" s="38" t="s">
        <v>385</v>
      </c>
      <c r="D98" s="195">
        <v>5.94</v>
      </c>
      <c r="E98" s="195"/>
      <c r="F98" s="195">
        <v>6.67</v>
      </c>
      <c r="G98" s="195"/>
      <c r="H98" s="196">
        <v>1.7817091333745536</v>
      </c>
      <c r="I98" s="196"/>
      <c r="J98" s="196">
        <v>1.8976198599275322</v>
      </c>
      <c r="K98" s="196"/>
      <c r="L98" s="196">
        <v>0.11591072655297863</v>
      </c>
      <c r="M98" s="196"/>
      <c r="N98" s="188"/>
      <c r="O98" s="189"/>
    </row>
    <row r="99" spans="1:15" x14ac:dyDescent="0.25">
      <c r="A99" s="121" t="s">
        <v>390</v>
      </c>
      <c r="B99" s="38" t="s">
        <v>384</v>
      </c>
      <c r="C99" s="38" t="s">
        <v>385</v>
      </c>
      <c r="D99" s="195">
        <v>7.82</v>
      </c>
      <c r="E99" s="195"/>
      <c r="F99" s="195">
        <v>8.68</v>
      </c>
      <c r="G99" s="195"/>
      <c r="H99" s="196">
        <v>2.0566845545572199</v>
      </c>
      <c r="I99" s="196"/>
      <c r="J99" s="196">
        <v>2.1610215286722587</v>
      </c>
      <c r="K99" s="196"/>
      <c r="L99" s="196">
        <v>0.10433697411503884</v>
      </c>
      <c r="M99" s="196"/>
      <c r="N99" s="188"/>
      <c r="O99" s="189"/>
    </row>
    <row r="100" spans="1:15" ht="15.75" thickBot="1" x14ac:dyDescent="0.3">
      <c r="A100" s="128" t="s">
        <v>391</v>
      </c>
      <c r="B100" s="190" t="s">
        <v>385</v>
      </c>
      <c r="C100" s="190" t="s">
        <v>384</v>
      </c>
      <c r="D100" s="197"/>
      <c r="E100" s="197">
        <v>3.53</v>
      </c>
      <c r="F100" s="197"/>
      <c r="G100" s="197">
        <v>3.71</v>
      </c>
      <c r="H100" s="198"/>
      <c r="I100" s="198">
        <v>1.2612978709452054</v>
      </c>
      <c r="J100" s="198"/>
      <c r="K100" s="198">
        <v>1.3110318766193438</v>
      </c>
      <c r="L100" s="198"/>
      <c r="M100" s="198">
        <v>4.9734005674138437E-2</v>
      </c>
      <c r="N100" s="191"/>
      <c r="O100" s="19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B394-9C1B-4049-8871-8E690292AE82}">
  <dimension ref="A1:AK61"/>
  <sheetViews>
    <sheetView topLeftCell="Q1" zoomScale="70" zoomScaleNormal="70" workbookViewId="0">
      <selection activeCell="A2" sqref="A2:B31"/>
    </sheetView>
  </sheetViews>
  <sheetFormatPr defaultRowHeight="18.75" x14ac:dyDescent="0.3"/>
  <cols>
    <col min="1" max="1" width="9.5703125" style="159" bestFit="1" customWidth="1"/>
    <col min="2" max="2" width="17.42578125" style="159" customWidth="1"/>
    <col min="3" max="4" width="23" style="159" bestFit="1" customWidth="1"/>
    <col min="5" max="6" width="22.7109375" style="159" bestFit="1" customWidth="1"/>
    <col min="7" max="8" width="20.140625" style="159" bestFit="1" customWidth="1"/>
    <col min="9" max="9" width="26.85546875" style="160" bestFit="1" customWidth="1"/>
    <col min="10" max="10" width="27.42578125" style="160" bestFit="1" customWidth="1"/>
    <col min="11" max="12" width="23.42578125" style="159" bestFit="1" customWidth="1"/>
    <col min="13" max="14" width="28.7109375" style="159" bestFit="1" customWidth="1"/>
    <col min="15" max="15" width="35.140625" style="159" bestFit="1" customWidth="1"/>
    <col min="16" max="16" width="35.28515625" style="159" bestFit="1" customWidth="1"/>
    <col min="17" max="18" width="35" style="159" bestFit="1" customWidth="1"/>
    <col min="19" max="20" width="27.7109375" style="159" bestFit="1" customWidth="1"/>
    <col min="21" max="21" width="23.28515625" style="159" customWidth="1"/>
    <col min="22" max="22" width="23.28515625" style="159" bestFit="1" customWidth="1"/>
    <col min="23" max="24" width="23.7109375" style="159" bestFit="1" customWidth="1"/>
    <col min="25" max="26" width="22.28515625" style="159" bestFit="1" customWidth="1"/>
    <col min="27" max="30" width="13.42578125" style="159" bestFit="1" customWidth="1"/>
    <col min="31" max="31" width="11.85546875" style="160" bestFit="1" customWidth="1"/>
    <col min="32" max="32" width="11.85546875" style="159" bestFit="1" customWidth="1"/>
    <col min="33" max="34" width="12.85546875" style="159" bestFit="1" customWidth="1"/>
    <col min="35" max="36" width="16.28515625" style="159" bestFit="1" customWidth="1"/>
    <col min="37" max="37" width="7.42578125" style="159" bestFit="1" customWidth="1"/>
    <col min="38" max="16384" width="9.140625" style="159"/>
  </cols>
  <sheetData>
    <row r="1" spans="1:36" x14ac:dyDescent="0.3">
      <c r="A1" s="159" t="s">
        <v>381</v>
      </c>
      <c r="B1" s="159" t="s">
        <v>431</v>
      </c>
      <c r="C1" s="159" t="s">
        <v>369</v>
      </c>
      <c r="D1" s="159" t="s">
        <v>370</v>
      </c>
      <c r="E1" s="159" t="s">
        <v>371</v>
      </c>
      <c r="F1" s="159" t="s">
        <v>372</v>
      </c>
      <c r="G1" s="159" t="s">
        <v>432</v>
      </c>
      <c r="H1" s="159" t="s">
        <v>432</v>
      </c>
      <c r="I1" s="159" t="s">
        <v>433</v>
      </c>
      <c r="J1" s="159" t="s">
        <v>434</v>
      </c>
      <c r="K1" s="160" t="s">
        <v>377</v>
      </c>
      <c r="L1" s="160" t="s">
        <v>378</v>
      </c>
      <c r="M1" s="159" t="s">
        <v>435</v>
      </c>
      <c r="N1" s="159" t="s">
        <v>436</v>
      </c>
      <c r="O1" s="159" t="s">
        <v>437</v>
      </c>
      <c r="P1" s="159" t="s">
        <v>438</v>
      </c>
      <c r="Q1" s="159" t="s">
        <v>439</v>
      </c>
      <c r="R1" s="159" t="s">
        <v>440</v>
      </c>
      <c r="S1" s="159" t="s">
        <v>441</v>
      </c>
      <c r="T1" s="159" t="s">
        <v>442</v>
      </c>
      <c r="U1" s="159" t="s">
        <v>373</v>
      </c>
      <c r="V1" s="159" t="s">
        <v>374</v>
      </c>
      <c r="W1" s="159" t="s">
        <v>375</v>
      </c>
      <c r="X1" s="159" t="s">
        <v>376</v>
      </c>
      <c r="Y1" s="159" t="s">
        <v>443</v>
      </c>
      <c r="Z1" s="159" t="s">
        <v>444</v>
      </c>
      <c r="AA1" s="159" t="s">
        <v>445</v>
      </c>
      <c r="AB1" s="159" t="s">
        <v>446</v>
      </c>
      <c r="AC1" s="159" t="s">
        <v>447</v>
      </c>
      <c r="AD1" s="159" t="s">
        <v>448</v>
      </c>
      <c r="AE1" s="160" t="s">
        <v>449</v>
      </c>
      <c r="AF1" s="159" t="s">
        <v>450</v>
      </c>
      <c r="AG1" s="159" t="s">
        <v>451</v>
      </c>
      <c r="AH1" s="159" t="s">
        <v>452</v>
      </c>
      <c r="AI1" s="159" t="s">
        <v>382</v>
      </c>
      <c r="AJ1" s="159" t="s">
        <v>383</v>
      </c>
    </row>
    <row r="2" spans="1:36" x14ac:dyDescent="0.3">
      <c r="A2" s="159" t="s">
        <v>3</v>
      </c>
      <c r="B2" s="161" t="s">
        <v>453</v>
      </c>
      <c r="C2" s="160">
        <v>8.0299999999999994</v>
      </c>
      <c r="D2" s="162"/>
      <c r="E2" s="160">
        <v>8.42</v>
      </c>
      <c r="F2" s="162"/>
      <c r="G2" s="160">
        <v>8.1</v>
      </c>
      <c r="H2" s="162"/>
      <c r="I2" s="160">
        <f t="shared" ref="I2:J9" si="0">E2-C2</f>
        <v>0.39000000000000057</v>
      </c>
      <c r="J2" s="162"/>
      <c r="K2" s="160">
        <f t="shared" ref="K2:L9" si="1">(I2/C2)*100</f>
        <v>4.8567870485678784</v>
      </c>
      <c r="L2" s="162"/>
      <c r="M2" s="163">
        <v>4.7</v>
      </c>
      <c r="N2" s="164"/>
      <c r="O2" s="165">
        <v>30</v>
      </c>
      <c r="P2" s="166"/>
      <c r="Q2" s="165">
        <v>72</v>
      </c>
      <c r="R2" s="167"/>
      <c r="S2" s="160">
        <f>(M2+Q2)/2</f>
        <v>38.35</v>
      </c>
      <c r="T2" s="162"/>
      <c r="U2" s="163">
        <f t="shared" ref="U2:V9" si="2">(M2*(C2*C2/4*3.14)*60)/100</f>
        <v>142.74136833</v>
      </c>
      <c r="V2" s="164"/>
      <c r="W2" s="165">
        <f t="shared" ref="W2:X9" si="3">(Q2*(G2*G2/4*3.1415)*60)/100</f>
        <v>2226.0292019999997</v>
      </c>
      <c r="X2" s="166"/>
      <c r="Y2" s="165">
        <f t="shared" ref="Y2:Z9" si="4">(M2*(E2*E2/4*3.1415)*60/100)</f>
        <v>157.01833362299999</v>
      </c>
      <c r="Z2" s="166"/>
      <c r="AA2" s="160">
        <f t="shared" ref="AA2:AB9" si="5">(4*S2/C2)</f>
        <v>19.103362391033627</v>
      </c>
      <c r="AB2" s="162"/>
      <c r="AC2" s="163">
        <f t="shared" ref="AC2:AD9" si="6">(4*(Q2/G2)/10)*10</f>
        <v>35.555555555555557</v>
      </c>
      <c r="AD2" s="164"/>
      <c r="AE2" s="163">
        <f t="shared" ref="AE2:AF9" si="7">(4*(Y2/G2)/10)*10</f>
        <v>77.539917838518519</v>
      </c>
      <c r="AF2" s="164"/>
      <c r="AG2" s="165">
        <f t="shared" ref="AG2:AH9" si="8">(AE2*90)</f>
        <v>6978.592605466667</v>
      </c>
      <c r="AH2" s="166"/>
      <c r="AI2" s="168">
        <f t="shared" ref="AI2:AJ9" si="9">(K2/AE2)</f>
        <v>6.2635958148452325E-2</v>
      </c>
      <c r="AJ2" s="169"/>
    </row>
    <row r="3" spans="1:36" x14ac:dyDescent="0.3">
      <c r="A3" s="159" t="s">
        <v>5</v>
      </c>
      <c r="B3" s="159" t="s">
        <v>453</v>
      </c>
      <c r="C3" s="160">
        <v>4.29</v>
      </c>
      <c r="D3" s="160">
        <v>4.63</v>
      </c>
      <c r="E3" s="160">
        <v>4.58</v>
      </c>
      <c r="F3" s="160">
        <v>5.26</v>
      </c>
      <c r="G3" s="160">
        <v>4.26</v>
      </c>
      <c r="H3" s="160">
        <v>4.6500000000000004</v>
      </c>
      <c r="I3" s="160">
        <f t="shared" si="0"/>
        <v>0.29000000000000004</v>
      </c>
      <c r="J3" s="160">
        <f t="shared" si="0"/>
        <v>0.62999999999999989</v>
      </c>
      <c r="K3" s="160">
        <f t="shared" si="1"/>
        <v>6.7599067599067597</v>
      </c>
      <c r="L3" s="160">
        <f t="shared" si="1"/>
        <v>13.606911447084229</v>
      </c>
      <c r="M3" s="163">
        <v>6.1</v>
      </c>
      <c r="N3" s="163">
        <v>6.1</v>
      </c>
      <c r="O3" s="165">
        <v>42</v>
      </c>
      <c r="P3" s="165">
        <v>44</v>
      </c>
      <c r="Q3" s="165">
        <v>52</v>
      </c>
      <c r="R3" s="159">
        <v>83</v>
      </c>
      <c r="S3" s="160">
        <f t="shared" ref="S3:T18" si="10">(M3+Q3)/2</f>
        <v>29.05</v>
      </c>
      <c r="T3" s="160">
        <f>(N3+R3)/2</f>
        <v>44.55</v>
      </c>
      <c r="U3" s="163">
        <f t="shared" si="2"/>
        <v>52.876819709999999</v>
      </c>
      <c r="V3" s="163">
        <f t="shared" si="2"/>
        <v>61.590357389999987</v>
      </c>
      <c r="W3" s="165">
        <f t="shared" si="3"/>
        <v>444.68334612000001</v>
      </c>
      <c r="X3" s="165">
        <f t="shared" si="3"/>
        <v>845.69219268750021</v>
      </c>
      <c r="Y3" s="165">
        <f t="shared" si="4"/>
        <v>60.296084949000004</v>
      </c>
      <c r="Z3" s="165">
        <f t="shared" si="4"/>
        <v>79.529755340999984</v>
      </c>
      <c r="AA3" s="160">
        <f t="shared" si="5"/>
        <v>27.086247086247088</v>
      </c>
      <c r="AB3" s="160">
        <f t="shared" si="5"/>
        <v>38.488120950323975</v>
      </c>
      <c r="AC3" s="163">
        <f t="shared" si="6"/>
        <v>48.826291079812208</v>
      </c>
      <c r="AD3" s="163">
        <f t="shared" si="6"/>
        <v>71.397849462365585</v>
      </c>
      <c r="AE3" s="163">
        <f t="shared" si="7"/>
        <v>56.616042205633818</v>
      </c>
      <c r="AF3" s="163">
        <f t="shared" si="7"/>
        <v>68.412692766451599</v>
      </c>
      <c r="AG3" s="165">
        <f t="shared" si="8"/>
        <v>5095.4437985070435</v>
      </c>
      <c r="AH3" s="165">
        <f t="shared" si="8"/>
        <v>6157.1423489806439</v>
      </c>
      <c r="AI3" s="168">
        <f t="shared" si="9"/>
        <v>0.11939914018281707</v>
      </c>
      <c r="AJ3" s="168">
        <f t="shared" si="9"/>
        <v>0.19889454568811862</v>
      </c>
    </row>
    <row r="4" spans="1:36" x14ac:dyDescent="0.3">
      <c r="A4" s="159" t="s">
        <v>7</v>
      </c>
      <c r="B4" s="159" t="s">
        <v>454</v>
      </c>
      <c r="C4" s="160">
        <v>8.83</v>
      </c>
      <c r="D4" s="160">
        <v>8.9</v>
      </c>
      <c r="E4" s="160">
        <v>9.0500000000000007</v>
      </c>
      <c r="F4" s="160">
        <v>9.52</v>
      </c>
      <c r="G4" s="160">
        <v>8.8699999999999992</v>
      </c>
      <c r="H4" s="160">
        <v>8.86</v>
      </c>
      <c r="I4" s="160">
        <f t="shared" si="0"/>
        <v>0.22000000000000064</v>
      </c>
      <c r="J4" s="160">
        <f t="shared" si="0"/>
        <v>0.61999999999999922</v>
      </c>
      <c r="K4" s="160">
        <f t="shared" si="1"/>
        <v>2.4915062287655791</v>
      </c>
      <c r="L4" s="160">
        <f t="shared" si="1"/>
        <v>6.9662921348314519</v>
      </c>
      <c r="M4" s="163">
        <v>5.3</v>
      </c>
      <c r="N4" s="163">
        <v>5.6</v>
      </c>
      <c r="O4" s="165">
        <v>35</v>
      </c>
      <c r="P4" s="165">
        <v>35</v>
      </c>
      <c r="Q4" s="165">
        <v>60</v>
      </c>
      <c r="R4" s="159">
        <v>50</v>
      </c>
      <c r="S4" s="160">
        <f t="shared" si="10"/>
        <v>32.65</v>
      </c>
      <c r="T4" s="160">
        <f t="shared" si="10"/>
        <v>27.8</v>
      </c>
      <c r="U4" s="163">
        <f t="shared" si="2"/>
        <v>194.63376507000001</v>
      </c>
      <c r="V4" s="163">
        <f t="shared" si="2"/>
        <v>208.92429600000003</v>
      </c>
      <c r="W4" s="165">
        <f t="shared" si="3"/>
        <v>2224.4713321499999</v>
      </c>
      <c r="X4" s="165">
        <f t="shared" si="3"/>
        <v>1849.5487004999998</v>
      </c>
      <c r="Y4" s="165">
        <f t="shared" si="4"/>
        <v>204.55087948125004</v>
      </c>
      <c r="Z4" s="165">
        <f t="shared" si="4"/>
        <v>239.16093734399999</v>
      </c>
      <c r="AA4" s="160">
        <f t="shared" si="5"/>
        <v>14.790486976217439</v>
      </c>
      <c r="AB4" s="160">
        <f t="shared" si="5"/>
        <v>12.49438202247191</v>
      </c>
      <c r="AC4" s="163">
        <f t="shared" si="6"/>
        <v>27.057497181510712</v>
      </c>
      <c r="AD4" s="163">
        <f t="shared" si="6"/>
        <v>22.573363431151243</v>
      </c>
      <c r="AE4" s="163">
        <f t="shared" si="7"/>
        <v>92.243914083991001</v>
      </c>
      <c r="AF4" s="163">
        <f t="shared" si="7"/>
        <v>107.97333514401807</v>
      </c>
      <c r="AG4" s="165">
        <f t="shared" si="8"/>
        <v>8301.9522675591907</v>
      </c>
      <c r="AH4" s="165">
        <f t="shared" si="8"/>
        <v>9717.6001629616258</v>
      </c>
      <c r="AI4" s="168">
        <f t="shared" si="9"/>
        <v>2.7009979503872569E-2</v>
      </c>
      <c r="AJ4" s="168">
        <f t="shared" si="9"/>
        <v>6.4518634397461222E-2</v>
      </c>
    </row>
    <row r="5" spans="1:36" x14ac:dyDescent="0.3">
      <c r="A5" s="159" t="s">
        <v>8</v>
      </c>
      <c r="B5" s="159" t="s">
        <v>454</v>
      </c>
      <c r="C5" s="159">
        <v>7.82</v>
      </c>
      <c r="D5" s="159">
        <v>7.75</v>
      </c>
      <c r="E5" s="159">
        <v>8.2799999999999994</v>
      </c>
      <c r="F5" s="159">
        <v>8.6199999999999992</v>
      </c>
      <c r="G5" s="159">
        <v>7.8</v>
      </c>
      <c r="H5" s="159">
        <v>7.57</v>
      </c>
      <c r="I5" s="160">
        <f t="shared" si="0"/>
        <v>0.45999999999999908</v>
      </c>
      <c r="J5" s="160">
        <f t="shared" si="0"/>
        <v>0.86999999999999922</v>
      </c>
      <c r="K5" s="160">
        <f t="shared" si="1"/>
        <v>5.8823529411764586</v>
      </c>
      <c r="L5" s="160">
        <f t="shared" si="1"/>
        <v>11.225806451612893</v>
      </c>
      <c r="M5" s="163">
        <v>6.8</v>
      </c>
      <c r="N5" s="163">
        <v>6.9</v>
      </c>
      <c r="O5" s="165">
        <v>42</v>
      </c>
      <c r="P5" s="165">
        <v>25</v>
      </c>
      <c r="Q5" s="165">
        <v>68</v>
      </c>
      <c r="R5" s="159">
        <v>54</v>
      </c>
      <c r="S5" s="160">
        <f t="shared" si="10"/>
        <v>37.4</v>
      </c>
      <c r="T5" s="160">
        <f t="shared" si="10"/>
        <v>30.45</v>
      </c>
      <c r="U5" s="163">
        <f t="shared" si="2"/>
        <v>195.85890672000002</v>
      </c>
      <c r="V5" s="163">
        <f t="shared" si="2"/>
        <v>195.19711875000002</v>
      </c>
      <c r="W5" s="165">
        <f t="shared" si="3"/>
        <v>1949.5143719999999</v>
      </c>
      <c r="X5" s="165">
        <f t="shared" si="3"/>
        <v>1458.1890811350004</v>
      </c>
      <c r="Y5" s="165">
        <f t="shared" si="4"/>
        <v>219.68373787199999</v>
      </c>
      <c r="Z5" s="165">
        <f t="shared" si="4"/>
        <v>241.59722714099999</v>
      </c>
      <c r="AA5" s="160">
        <f t="shared" si="5"/>
        <v>19.130434782608695</v>
      </c>
      <c r="AB5" s="160">
        <f t="shared" si="5"/>
        <v>15.716129032258063</v>
      </c>
      <c r="AC5" s="163">
        <f t="shared" si="6"/>
        <v>34.871794871794876</v>
      </c>
      <c r="AD5" s="163">
        <f t="shared" si="6"/>
        <v>28.533685601056803</v>
      </c>
      <c r="AE5" s="163">
        <f t="shared" si="7"/>
        <v>112.65832711384616</v>
      </c>
      <c r="AF5" s="163">
        <f t="shared" si="7"/>
        <v>127.6603578023778</v>
      </c>
      <c r="AG5" s="165">
        <f t="shared" si="8"/>
        <v>10139.249440246154</v>
      </c>
      <c r="AH5" s="165">
        <f t="shared" si="8"/>
        <v>11489.432202214002</v>
      </c>
      <c r="AI5" s="168">
        <f t="shared" si="9"/>
        <v>5.221409807756229E-2</v>
      </c>
      <c r="AJ5" s="168">
        <f t="shared" si="9"/>
        <v>8.7934944291718109E-2</v>
      </c>
    </row>
    <row r="6" spans="1:36" x14ac:dyDescent="0.3">
      <c r="A6" s="159" t="s">
        <v>9</v>
      </c>
      <c r="B6" s="159" t="s">
        <v>453</v>
      </c>
      <c r="C6" s="160">
        <v>7.66</v>
      </c>
      <c r="D6" s="160">
        <v>7.64</v>
      </c>
      <c r="E6" s="160">
        <v>7.84</v>
      </c>
      <c r="F6" s="160">
        <v>8.07</v>
      </c>
      <c r="G6" s="160">
        <v>7.3</v>
      </c>
      <c r="H6" s="160">
        <v>7.67</v>
      </c>
      <c r="I6" s="160">
        <f t="shared" si="0"/>
        <v>0.17999999999999972</v>
      </c>
      <c r="J6" s="160">
        <f t="shared" si="0"/>
        <v>0.4300000000000006</v>
      </c>
      <c r="K6" s="160">
        <f t="shared" si="1"/>
        <v>2.3498694516971241</v>
      </c>
      <c r="L6" s="160">
        <f t="shared" si="1"/>
        <v>5.6282722513089087</v>
      </c>
      <c r="M6" s="163">
        <v>4.5999999999999996</v>
      </c>
      <c r="N6" s="163">
        <v>4.2</v>
      </c>
      <c r="O6" s="165">
        <v>28</v>
      </c>
      <c r="P6" s="165">
        <v>33</v>
      </c>
      <c r="Q6" s="165">
        <v>54</v>
      </c>
      <c r="R6" s="159">
        <v>40</v>
      </c>
      <c r="S6" s="160">
        <f t="shared" si="10"/>
        <v>29.3</v>
      </c>
      <c r="T6" s="160">
        <f t="shared" si="10"/>
        <v>22.1</v>
      </c>
      <c r="U6" s="163">
        <f t="shared" si="2"/>
        <v>127.12655495999999</v>
      </c>
      <c r="V6" s="163">
        <f t="shared" si="2"/>
        <v>115.46674272</v>
      </c>
      <c r="W6" s="165">
        <f t="shared" si="3"/>
        <v>1356.0253335000002</v>
      </c>
      <c r="X6" s="165">
        <f t="shared" si="3"/>
        <v>1108.8659361</v>
      </c>
      <c r="Y6" s="165">
        <f t="shared" si="4"/>
        <v>133.23498585599998</v>
      </c>
      <c r="Z6" s="165">
        <f t="shared" si="4"/>
        <v>128.89162021050004</v>
      </c>
      <c r="AA6" s="160">
        <f t="shared" si="5"/>
        <v>15.300261096605745</v>
      </c>
      <c r="AB6" s="160">
        <f t="shared" si="5"/>
        <v>11.570680628272253</v>
      </c>
      <c r="AC6" s="163">
        <f t="shared" si="6"/>
        <v>29.589041095890416</v>
      </c>
      <c r="AD6" s="163">
        <f t="shared" si="6"/>
        <v>20.860495436766623</v>
      </c>
      <c r="AE6" s="163">
        <f t="shared" si="7"/>
        <v>73.005471701917799</v>
      </c>
      <c r="AF6" s="163">
        <f t="shared" si="7"/>
        <v>67.218576380964819</v>
      </c>
      <c r="AG6" s="165">
        <f t="shared" si="8"/>
        <v>6570.4924531726019</v>
      </c>
      <c r="AH6" s="165">
        <f t="shared" si="8"/>
        <v>6049.6718742868334</v>
      </c>
      <c r="AI6" s="168">
        <f t="shared" si="9"/>
        <v>3.2187579874720471E-2</v>
      </c>
      <c r="AJ6" s="168">
        <f t="shared" si="9"/>
        <v>8.3730905269554942E-2</v>
      </c>
    </row>
    <row r="7" spans="1:36" x14ac:dyDescent="0.3">
      <c r="A7" s="159" t="s">
        <v>10</v>
      </c>
      <c r="B7" s="159" t="s">
        <v>454</v>
      </c>
      <c r="C7" s="159">
        <v>4.78</v>
      </c>
      <c r="D7" s="159">
        <v>4.9800000000000004</v>
      </c>
      <c r="E7" s="159">
        <v>4.96</v>
      </c>
      <c r="F7" s="159">
        <v>5.37</v>
      </c>
      <c r="G7" s="159">
        <v>4.82</v>
      </c>
      <c r="H7" s="159">
        <v>4.96</v>
      </c>
      <c r="I7" s="160">
        <f t="shared" si="0"/>
        <v>0.17999999999999972</v>
      </c>
      <c r="J7" s="160">
        <f t="shared" si="0"/>
        <v>0.38999999999999968</v>
      </c>
      <c r="K7" s="160">
        <f t="shared" si="1"/>
        <v>3.7656903765690317</v>
      </c>
      <c r="L7" s="160">
        <f t="shared" si="1"/>
        <v>7.8313253012048127</v>
      </c>
      <c r="M7" s="163">
        <v>5.8</v>
      </c>
      <c r="N7" s="163">
        <v>6.2</v>
      </c>
      <c r="O7" s="165">
        <v>35</v>
      </c>
      <c r="P7" s="165">
        <v>42</v>
      </c>
      <c r="Q7" s="165">
        <v>66</v>
      </c>
      <c r="R7" s="159">
        <v>65</v>
      </c>
      <c r="S7" s="160">
        <f t="shared" si="10"/>
        <v>35.9</v>
      </c>
      <c r="T7" s="160">
        <f t="shared" si="10"/>
        <v>35.6</v>
      </c>
      <c r="U7" s="163">
        <f t="shared" si="2"/>
        <v>62.417259119999997</v>
      </c>
      <c r="V7" s="163">
        <f t="shared" si="2"/>
        <v>72.422128080000022</v>
      </c>
      <c r="W7" s="165">
        <f t="shared" si="3"/>
        <v>722.54738754000005</v>
      </c>
      <c r="X7" s="165">
        <f t="shared" si="3"/>
        <v>753.53778239999997</v>
      </c>
      <c r="Y7" s="165">
        <f t="shared" si="4"/>
        <v>67.238755968000007</v>
      </c>
      <c r="Z7" s="165">
        <f t="shared" si="4"/>
        <v>84.249742855500003</v>
      </c>
      <c r="AA7" s="160">
        <f t="shared" si="5"/>
        <v>30.041841004184096</v>
      </c>
      <c r="AB7" s="160">
        <f t="shared" si="5"/>
        <v>28.594377510040161</v>
      </c>
      <c r="AC7" s="163">
        <f t="shared" si="6"/>
        <v>54.77178423236515</v>
      </c>
      <c r="AD7" s="163">
        <f t="shared" si="6"/>
        <v>52.41935483870968</v>
      </c>
      <c r="AE7" s="163">
        <f t="shared" si="7"/>
        <v>55.799797483817429</v>
      </c>
      <c r="AF7" s="163">
        <f t="shared" si="7"/>
        <v>67.943341012499999</v>
      </c>
      <c r="AG7" s="165">
        <f t="shared" si="8"/>
        <v>5021.9817735435681</v>
      </c>
      <c r="AH7" s="165">
        <f t="shared" si="8"/>
        <v>6114.9006911249999</v>
      </c>
      <c r="AI7" s="168">
        <f t="shared" si="9"/>
        <v>6.7485735546999506E-2</v>
      </c>
      <c r="AJ7" s="168">
        <f t="shared" si="9"/>
        <v>0.11526258768705576</v>
      </c>
    </row>
    <row r="8" spans="1:36" x14ac:dyDescent="0.3">
      <c r="A8" s="159" t="s">
        <v>455</v>
      </c>
      <c r="B8" s="159" t="s">
        <v>453</v>
      </c>
      <c r="C8" s="160">
        <v>8.02</v>
      </c>
      <c r="D8" s="160">
        <v>8.1199999999999992</v>
      </c>
      <c r="E8" s="160">
        <v>8.34</v>
      </c>
      <c r="F8" s="160">
        <v>8.81</v>
      </c>
      <c r="G8" s="160">
        <v>8.0399999999999991</v>
      </c>
      <c r="H8" s="160">
        <v>8.1199999999999992</v>
      </c>
      <c r="I8" s="160">
        <f t="shared" si="0"/>
        <v>0.32000000000000028</v>
      </c>
      <c r="J8" s="160">
        <f t="shared" si="0"/>
        <v>0.69000000000000128</v>
      </c>
      <c r="K8" s="160">
        <f t="shared" si="1"/>
        <v>3.9900249376558645</v>
      </c>
      <c r="L8" s="160">
        <f t="shared" si="1"/>
        <v>8.4975369458128238</v>
      </c>
      <c r="M8" s="163">
        <v>4.9000000000000004</v>
      </c>
      <c r="N8" s="163">
        <v>4.8</v>
      </c>
      <c r="O8" s="165">
        <v>24</v>
      </c>
      <c r="P8" s="165">
        <v>42</v>
      </c>
      <c r="Q8" s="165">
        <v>54</v>
      </c>
      <c r="R8" s="159">
        <v>45</v>
      </c>
      <c r="S8" s="160">
        <f>(M8+Q8)/2</f>
        <v>29.45</v>
      </c>
      <c r="T8" s="160">
        <f t="shared" si="10"/>
        <v>24.9</v>
      </c>
      <c r="U8" s="163">
        <f t="shared" si="2"/>
        <v>148.44505115999999</v>
      </c>
      <c r="V8" s="163">
        <f t="shared" si="2"/>
        <v>149.06449151999996</v>
      </c>
      <c r="W8" s="165">
        <f t="shared" si="3"/>
        <v>1644.8798498399995</v>
      </c>
      <c r="X8" s="165">
        <f t="shared" si="3"/>
        <v>1398.1471937999997</v>
      </c>
      <c r="Y8" s="165">
        <f t="shared" si="4"/>
        <v>160.604054289</v>
      </c>
      <c r="Z8" s="165">
        <f t="shared" si="4"/>
        <v>175.558304268</v>
      </c>
      <c r="AA8" s="160">
        <f t="shared" si="5"/>
        <v>14.688279301745636</v>
      </c>
      <c r="AB8" s="160">
        <f t="shared" si="5"/>
        <v>12.266009852216749</v>
      </c>
      <c r="AC8" s="163">
        <f t="shared" si="6"/>
        <v>26.865671641791046</v>
      </c>
      <c r="AD8" s="163">
        <f t="shared" si="6"/>
        <v>22.167487684729068</v>
      </c>
      <c r="AE8" s="163">
        <f t="shared" si="7"/>
        <v>79.902514571641802</v>
      </c>
      <c r="AF8" s="163">
        <f t="shared" si="7"/>
        <v>86.481923284729078</v>
      </c>
      <c r="AG8" s="165">
        <f t="shared" si="8"/>
        <v>7191.2263114477619</v>
      </c>
      <c r="AH8" s="165">
        <f t="shared" si="8"/>
        <v>7783.3730956256168</v>
      </c>
      <c r="AI8" s="168">
        <f t="shared" si="9"/>
        <v>4.9936162322880936E-2</v>
      </c>
      <c r="AJ8" s="168">
        <f t="shared" si="9"/>
        <v>9.8257955224190924E-2</v>
      </c>
    </row>
    <row r="9" spans="1:36" x14ac:dyDescent="0.3">
      <c r="A9" s="159" t="s">
        <v>386</v>
      </c>
      <c r="B9" s="159" t="s">
        <v>453</v>
      </c>
      <c r="C9" s="162"/>
      <c r="D9" s="160">
        <v>5.8</v>
      </c>
      <c r="E9" s="162"/>
      <c r="F9" s="160">
        <v>6.15</v>
      </c>
      <c r="G9" s="162"/>
      <c r="H9" s="160">
        <v>5.8</v>
      </c>
      <c r="I9" s="162"/>
      <c r="J9" s="160">
        <f t="shared" si="0"/>
        <v>0.35000000000000053</v>
      </c>
      <c r="K9" s="162"/>
      <c r="L9" s="160">
        <f t="shared" si="1"/>
        <v>6.0344827586206993</v>
      </c>
      <c r="M9" s="164"/>
      <c r="N9" s="163">
        <v>5.9</v>
      </c>
      <c r="O9" s="166"/>
      <c r="P9" s="165">
        <v>40</v>
      </c>
      <c r="Q9" s="166"/>
      <c r="R9" s="159">
        <v>55</v>
      </c>
      <c r="S9" s="162"/>
      <c r="T9" s="160">
        <f t="shared" si="10"/>
        <v>30.45</v>
      </c>
      <c r="U9" s="164"/>
      <c r="V9" s="163">
        <f t="shared" si="2"/>
        <v>93.482196000000016</v>
      </c>
      <c r="W9" s="166"/>
      <c r="X9" s="165">
        <f t="shared" si="3"/>
        <v>871.86049500000013</v>
      </c>
      <c r="Y9" s="166"/>
      <c r="Z9" s="165">
        <f t="shared" si="4"/>
        <v>105.15515461875003</v>
      </c>
      <c r="AA9" s="162"/>
      <c r="AB9" s="160">
        <f t="shared" si="5"/>
        <v>21</v>
      </c>
      <c r="AC9" s="164"/>
      <c r="AD9" s="163">
        <f t="shared" si="6"/>
        <v>37.931034482758619</v>
      </c>
      <c r="AE9" s="164"/>
      <c r="AF9" s="163">
        <f t="shared" si="7"/>
        <v>72.520796288793122</v>
      </c>
      <c r="AG9" s="166"/>
      <c r="AH9" s="165">
        <f t="shared" si="8"/>
        <v>6526.8716659913807</v>
      </c>
      <c r="AI9" s="169"/>
      <c r="AJ9" s="168">
        <f t="shared" si="9"/>
        <v>8.321037643588626E-2</v>
      </c>
    </row>
    <row r="10" spans="1:36" x14ac:dyDescent="0.3">
      <c r="A10" s="159" t="s">
        <v>387</v>
      </c>
      <c r="B10" s="161" t="s">
        <v>454</v>
      </c>
      <c r="C10" s="159">
        <v>5.01</v>
      </c>
      <c r="D10" s="167"/>
      <c r="E10" s="159">
        <v>5.26</v>
      </c>
      <c r="F10" s="167"/>
      <c r="G10" s="159">
        <v>5.18</v>
      </c>
      <c r="H10" s="167"/>
      <c r="I10" s="160">
        <f t="shared" ref="I10:I15" si="11">E10-C10</f>
        <v>0.25</v>
      </c>
      <c r="J10" s="162"/>
      <c r="K10" s="160">
        <f t="shared" ref="K10:K15" si="12">(I10/C10)*100</f>
        <v>4.9900199600798407</v>
      </c>
      <c r="L10" s="162"/>
      <c r="M10" s="163">
        <v>4.2</v>
      </c>
      <c r="N10" s="164"/>
      <c r="O10" s="166"/>
      <c r="P10" s="166"/>
      <c r="Q10" s="165">
        <v>58</v>
      </c>
      <c r="R10" s="167"/>
      <c r="S10" s="160">
        <f t="shared" si="10"/>
        <v>31.1</v>
      </c>
      <c r="T10" s="162"/>
      <c r="U10" s="163">
        <f t="shared" ref="U10:U15" si="13">(M10*(C10*C10/4*3.14)*60)/100</f>
        <v>49.653017819999995</v>
      </c>
      <c r="V10" s="164"/>
      <c r="W10" s="165">
        <f t="shared" ref="W10:W15" si="14">(Q10*(G10*G10/4*3.1415)*60)/100</f>
        <v>733.3576660199999</v>
      </c>
      <c r="X10" s="166"/>
      <c r="Y10" s="165">
        <f t="shared" ref="Y10:Y15" si="15">(M10*(E10*E10/4*3.1415)*60/100)</f>
        <v>54.758192202000004</v>
      </c>
      <c r="Z10" s="166"/>
      <c r="AA10" s="160">
        <f t="shared" ref="AA10:AA15" si="16">(4*S10/C10)</f>
        <v>24.830339321357286</v>
      </c>
      <c r="AB10" s="162"/>
      <c r="AC10" s="163">
        <f t="shared" ref="AC10:AC15" si="17">(4*(Q10/G10)/10)*10</f>
        <v>44.787644787644787</v>
      </c>
      <c r="AD10" s="164"/>
      <c r="AE10" s="163">
        <f t="shared" ref="AE10:AE15" si="18">(4*(Y10/G10)/10)*10</f>
        <v>42.284318302702708</v>
      </c>
      <c r="AF10" s="164"/>
      <c r="AG10" s="166"/>
      <c r="AH10" s="166"/>
      <c r="AI10" s="168">
        <f t="shared" ref="AI10:AI15" si="19">(K10/AE10)</f>
        <v>0.1180111247001206</v>
      </c>
      <c r="AJ10" s="169"/>
    </row>
    <row r="11" spans="1:36" x14ac:dyDescent="0.3">
      <c r="A11" s="159" t="s">
        <v>456</v>
      </c>
      <c r="B11" s="159" t="s">
        <v>453</v>
      </c>
      <c r="C11" s="160">
        <v>4.66</v>
      </c>
      <c r="D11" s="160">
        <v>4.5199999999999996</v>
      </c>
      <c r="E11" s="160">
        <v>4.99</v>
      </c>
      <c r="F11" s="160">
        <v>5.0599999999999996</v>
      </c>
      <c r="G11" s="160">
        <v>4.6399999999999997</v>
      </c>
      <c r="H11" s="160">
        <v>4.5</v>
      </c>
      <c r="I11" s="160">
        <f t="shared" si="11"/>
        <v>0.33000000000000007</v>
      </c>
      <c r="J11" s="160">
        <f>F11-D11</f>
        <v>0.54</v>
      </c>
      <c r="K11" s="160">
        <f t="shared" si="12"/>
        <v>7.0815450643776838</v>
      </c>
      <c r="L11" s="160">
        <f>(J11/D11)*100</f>
        <v>11.946902654867259</v>
      </c>
      <c r="M11" s="163">
        <v>5.6</v>
      </c>
      <c r="N11" s="163">
        <v>5.6</v>
      </c>
      <c r="O11" s="165">
        <v>36</v>
      </c>
      <c r="P11" s="165">
        <v>40</v>
      </c>
      <c r="Q11" s="165">
        <v>78</v>
      </c>
      <c r="R11" s="159">
        <v>58</v>
      </c>
      <c r="S11" s="160">
        <f t="shared" si="10"/>
        <v>41.8</v>
      </c>
      <c r="T11" s="160">
        <f t="shared" si="10"/>
        <v>31.8</v>
      </c>
      <c r="U11" s="163">
        <f t="shared" si="13"/>
        <v>57.277066560000002</v>
      </c>
      <c r="V11" s="163">
        <f>(N11*(D11*D11/4*3.14)*60)/100</f>
        <v>53.887223039999981</v>
      </c>
      <c r="W11" s="165">
        <f t="shared" si="14"/>
        <v>791.33228928000017</v>
      </c>
      <c r="X11" s="165">
        <f>(R11*(H11*H11/4*3.1415)*60)/100</f>
        <v>553.45376250000004</v>
      </c>
      <c r="Y11" s="165">
        <f t="shared" si="15"/>
        <v>65.707877885999991</v>
      </c>
      <c r="Z11" s="165">
        <f>(N11*(F11*F11/4*3.1415)*60/100)</f>
        <v>67.564315895999997</v>
      </c>
      <c r="AA11" s="160">
        <f t="shared" si="16"/>
        <v>35.879828326180252</v>
      </c>
      <c r="AB11" s="160">
        <f>(4*T11/D11)</f>
        <v>28.141592920353986</v>
      </c>
      <c r="AC11" s="163">
        <f t="shared" si="17"/>
        <v>67.241379310344826</v>
      </c>
      <c r="AD11" s="163">
        <f>(4*(R11/H11)/10)*10</f>
        <v>51.555555555555557</v>
      </c>
      <c r="AE11" s="163">
        <f t="shared" si="18"/>
        <v>56.644722315517235</v>
      </c>
      <c r="AF11" s="163">
        <f>(4*(Z11/H11)/10)*10</f>
        <v>60.057169685333335</v>
      </c>
      <c r="AG11" s="165">
        <f t="shared" ref="AG11:AH15" si="20">(AE11*90)</f>
        <v>5098.0250083965511</v>
      </c>
      <c r="AH11" s="165">
        <f t="shared" si="20"/>
        <v>5405.1452716800004</v>
      </c>
      <c r="AI11" s="168">
        <f t="shared" si="19"/>
        <v>0.12501685549684066</v>
      </c>
      <c r="AJ11" s="168">
        <f>(L11/AF11)</f>
        <v>0.19892550244146509</v>
      </c>
    </row>
    <row r="12" spans="1:36" x14ac:dyDescent="0.3">
      <c r="A12" s="159" t="s">
        <v>457</v>
      </c>
      <c r="B12" s="159" t="s">
        <v>454</v>
      </c>
      <c r="C12" s="160">
        <v>6.9</v>
      </c>
      <c r="D12" s="160">
        <v>6.73</v>
      </c>
      <c r="E12" s="160">
        <v>6.98</v>
      </c>
      <c r="F12" s="160">
        <v>7.23</v>
      </c>
      <c r="G12" s="160">
        <v>6.78</v>
      </c>
      <c r="H12" s="160">
        <v>6.72</v>
      </c>
      <c r="I12" s="160">
        <f t="shared" si="11"/>
        <v>8.0000000000000071E-2</v>
      </c>
      <c r="J12" s="160">
        <f>F12-D12</f>
        <v>0.5</v>
      </c>
      <c r="K12" s="160">
        <f t="shared" si="12"/>
        <v>1.1594202898550736</v>
      </c>
      <c r="L12" s="160">
        <f>(J12/D12)*100</f>
        <v>7.4294205052005946</v>
      </c>
      <c r="M12" s="163">
        <v>4</v>
      </c>
      <c r="N12" s="163">
        <v>3.7</v>
      </c>
      <c r="O12" s="165">
        <v>40</v>
      </c>
      <c r="P12" s="165">
        <v>35</v>
      </c>
      <c r="Q12" s="165">
        <v>80</v>
      </c>
      <c r="R12" s="159">
        <v>52</v>
      </c>
      <c r="S12" s="160">
        <f t="shared" si="10"/>
        <v>42</v>
      </c>
      <c r="T12" s="160">
        <f t="shared" si="10"/>
        <v>27.85</v>
      </c>
      <c r="U12" s="163">
        <f t="shared" si="13"/>
        <v>89.697240000000022</v>
      </c>
      <c r="V12" s="163">
        <f>(N12*(D12*D12/4*3.14)*60)/100</f>
        <v>78.931936829999998</v>
      </c>
      <c r="W12" s="165">
        <f t="shared" si="14"/>
        <v>1732.9167432000002</v>
      </c>
      <c r="X12" s="165">
        <f>(R12*(H12*H12/4*3.1415)*60)/100</f>
        <v>1106.5478860800001</v>
      </c>
      <c r="Y12" s="165">
        <f t="shared" si="15"/>
        <v>91.833081960000015</v>
      </c>
      <c r="Z12" s="165">
        <f>(N12*(F12*F12/4*3.1415)*60/100)</f>
        <v>91.139500019250022</v>
      </c>
      <c r="AA12" s="160">
        <f t="shared" si="16"/>
        <v>24.34782608695652</v>
      </c>
      <c r="AB12" s="160">
        <f>(4*T12/D12)</f>
        <v>16.552748885586922</v>
      </c>
      <c r="AC12" s="163">
        <f t="shared" si="17"/>
        <v>47.197640117994098</v>
      </c>
      <c r="AD12" s="163">
        <f>(4*(R12/H12)/10)*10</f>
        <v>30.952380952380953</v>
      </c>
      <c r="AE12" s="163">
        <f t="shared" si="18"/>
        <v>54.178809415929209</v>
      </c>
      <c r="AF12" s="163">
        <f>(4*(Z12/H12)/10)*10</f>
        <v>54.249702392410732</v>
      </c>
      <c r="AG12" s="165">
        <f t="shared" si="20"/>
        <v>4876.0928474336288</v>
      </c>
      <c r="AH12" s="165">
        <f t="shared" si="20"/>
        <v>4882.4732153169662</v>
      </c>
      <c r="AI12" s="168">
        <f t="shared" si="19"/>
        <v>2.1399884980015643E-2</v>
      </c>
      <c r="AJ12" s="168">
        <f>(L12/AF12)</f>
        <v>0.13694859469385651</v>
      </c>
    </row>
    <row r="13" spans="1:36" x14ac:dyDescent="0.3">
      <c r="A13" s="159" t="s">
        <v>458</v>
      </c>
      <c r="B13" s="159" t="s">
        <v>454</v>
      </c>
      <c r="C13" s="160">
        <v>6.63</v>
      </c>
      <c r="D13" s="160">
        <v>6.7</v>
      </c>
      <c r="E13" s="160">
        <v>6.86</v>
      </c>
      <c r="F13" s="160">
        <v>7.25</v>
      </c>
      <c r="G13" s="160">
        <v>6.66</v>
      </c>
      <c r="H13" s="160">
        <v>6.7</v>
      </c>
      <c r="I13" s="160">
        <f t="shared" si="11"/>
        <v>0.23000000000000043</v>
      </c>
      <c r="J13" s="160">
        <f>F13-D13</f>
        <v>0.54999999999999982</v>
      </c>
      <c r="K13" s="160">
        <f t="shared" si="12"/>
        <v>3.4690799396681813</v>
      </c>
      <c r="L13" s="160">
        <f>(J13/D13)*100</f>
        <v>8.2089552238805936</v>
      </c>
      <c r="M13" s="163">
        <v>4.8</v>
      </c>
      <c r="N13" s="163">
        <v>5</v>
      </c>
      <c r="O13" s="165">
        <v>50</v>
      </c>
      <c r="P13" s="165">
        <v>50</v>
      </c>
      <c r="Q13" s="165">
        <v>73</v>
      </c>
      <c r="R13" s="159">
        <v>75</v>
      </c>
      <c r="S13" s="160">
        <f t="shared" si="10"/>
        <v>38.9</v>
      </c>
      <c r="T13" s="160">
        <f t="shared" si="10"/>
        <v>40</v>
      </c>
      <c r="U13" s="163">
        <f t="shared" si="13"/>
        <v>99.377759519999998</v>
      </c>
      <c r="V13" s="163">
        <f>(N13*(D13*D13/4*3.14)*60)/100</f>
        <v>105.71595000000001</v>
      </c>
      <c r="W13" s="165">
        <f t="shared" si="14"/>
        <v>1525.8071355300001</v>
      </c>
      <c r="X13" s="165">
        <f>(R13*(H13*H13/4*3.1415)*60)/100</f>
        <v>1586.49676875</v>
      </c>
      <c r="Y13" s="165">
        <f t="shared" si="15"/>
        <v>106.443168048</v>
      </c>
      <c r="Z13" s="165">
        <f>(N13*(F13*F13/4*3.1415)*60/100)</f>
        <v>123.84382031250001</v>
      </c>
      <c r="AA13" s="160">
        <f t="shared" si="16"/>
        <v>23.469079939668173</v>
      </c>
      <c r="AB13" s="160">
        <f>(4*T13/D13)</f>
        <v>23.880597014925371</v>
      </c>
      <c r="AC13" s="163">
        <f t="shared" si="17"/>
        <v>43.843843843843842</v>
      </c>
      <c r="AD13" s="163">
        <f>(4*(R13/H13)/10)*10</f>
        <v>44.776119402985074</v>
      </c>
      <c r="AE13" s="163">
        <f t="shared" si="18"/>
        <v>63.929830659459469</v>
      </c>
      <c r="AF13" s="163">
        <f>(4*(Z13/H13)/10)*10</f>
        <v>73.936609141791052</v>
      </c>
      <c r="AG13" s="165">
        <f t="shared" si="20"/>
        <v>5753.6847593513521</v>
      </c>
      <c r="AH13" s="165">
        <f t="shared" si="20"/>
        <v>6654.2948227611951</v>
      </c>
      <c r="AI13" s="168">
        <f t="shared" si="19"/>
        <v>5.4263868743016509E-2</v>
      </c>
      <c r="AJ13" s="168">
        <f>(L13/AF13)</f>
        <v>0.11102693671193342</v>
      </c>
    </row>
    <row r="14" spans="1:36" x14ac:dyDescent="0.3">
      <c r="A14" s="159" t="s">
        <v>459</v>
      </c>
      <c r="B14" s="159" t="s">
        <v>454</v>
      </c>
      <c r="C14" s="159">
        <v>6.4</v>
      </c>
      <c r="D14" s="159">
        <v>6.61</v>
      </c>
      <c r="E14" s="159">
        <v>6.72</v>
      </c>
      <c r="F14" s="159">
        <v>7.18</v>
      </c>
      <c r="G14" s="159">
        <v>6.5</v>
      </c>
      <c r="H14" s="159">
        <v>6.57</v>
      </c>
      <c r="I14" s="160">
        <f t="shared" si="11"/>
        <v>0.3199999999999994</v>
      </c>
      <c r="J14" s="160">
        <f>F14-D14</f>
        <v>0.5699999999999994</v>
      </c>
      <c r="K14" s="160">
        <f t="shared" si="12"/>
        <v>4.9999999999999902</v>
      </c>
      <c r="L14" s="160">
        <f>(J14/D14)*100</f>
        <v>8.6232980332828948</v>
      </c>
      <c r="M14" s="163">
        <v>4.5</v>
      </c>
      <c r="N14" s="163">
        <v>5</v>
      </c>
      <c r="O14" s="165">
        <v>24</v>
      </c>
      <c r="P14" s="165">
        <v>32</v>
      </c>
      <c r="Q14" s="165">
        <v>44</v>
      </c>
      <c r="R14" s="159">
        <v>50</v>
      </c>
      <c r="S14" s="160">
        <f t="shared" si="10"/>
        <v>24.25</v>
      </c>
      <c r="T14" s="160">
        <f t="shared" si="10"/>
        <v>27.5</v>
      </c>
      <c r="U14" s="163">
        <f t="shared" si="13"/>
        <v>86.814719999999994</v>
      </c>
      <c r="V14" s="163">
        <f>(N14*(D14*D14/4*3.14)*60)/100</f>
        <v>102.8948955</v>
      </c>
      <c r="W14" s="165">
        <f t="shared" si="14"/>
        <v>876.00727499999994</v>
      </c>
      <c r="X14" s="165">
        <f>(R14*(H14*H14/4*3.1415)*60)/100</f>
        <v>1017.019000125</v>
      </c>
      <c r="Y14" s="165">
        <f t="shared" si="15"/>
        <v>95.75895168000001</v>
      </c>
      <c r="Z14" s="165">
        <f>(N14*(F14*F14/4*3.1415)*60/100)</f>
        <v>121.46389845</v>
      </c>
      <c r="AA14" s="160">
        <f t="shared" si="16"/>
        <v>15.15625</v>
      </c>
      <c r="AB14" s="160">
        <f>(4*T14/D14)</f>
        <v>16.64145234493192</v>
      </c>
      <c r="AC14" s="163">
        <f t="shared" si="17"/>
        <v>27.07692307692308</v>
      </c>
      <c r="AD14" s="163">
        <f>(4*(R14/H14)/10)*10</f>
        <v>30.441400304414003</v>
      </c>
      <c r="AE14" s="163">
        <f t="shared" si="18"/>
        <v>58.928585649230776</v>
      </c>
      <c r="AF14" s="163">
        <f>(4*(Z14/H14)/10)*10</f>
        <v>73.950623105022828</v>
      </c>
      <c r="AG14" s="165">
        <f t="shared" si="20"/>
        <v>5303.57270843077</v>
      </c>
      <c r="AH14" s="165">
        <f t="shared" si="20"/>
        <v>6655.5560794520543</v>
      </c>
      <c r="AI14" s="168">
        <f t="shared" si="19"/>
        <v>8.4848464372829516E-2</v>
      </c>
      <c r="AJ14" s="168">
        <f>(L14/AF14)</f>
        <v>0.11660886238965562</v>
      </c>
    </row>
    <row r="15" spans="1:36" x14ac:dyDescent="0.3">
      <c r="A15" s="159" t="s">
        <v>460</v>
      </c>
      <c r="B15" s="159" t="s">
        <v>453</v>
      </c>
      <c r="C15" s="160">
        <v>5.52</v>
      </c>
      <c r="D15" s="160">
        <v>5.39</v>
      </c>
      <c r="E15" s="160">
        <v>5.76</v>
      </c>
      <c r="F15" s="160">
        <v>6.03</v>
      </c>
      <c r="G15" s="160">
        <v>5.56</v>
      </c>
      <c r="H15" s="160">
        <v>5.42</v>
      </c>
      <c r="I15" s="160">
        <f t="shared" si="11"/>
        <v>0.24000000000000021</v>
      </c>
      <c r="J15" s="160">
        <f>F15-D15</f>
        <v>0.64000000000000057</v>
      </c>
      <c r="K15" s="160">
        <f t="shared" si="12"/>
        <v>4.3478260869565259</v>
      </c>
      <c r="L15" s="160">
        <f>(J15/D15)*100</f>
        <v>11.873840445269028</v>
      </c>
      <c r="M15" s="163">
        <v>5.4</v>
      </c>
      <c r="N15" s="163">
        <v>5.6</v>
      </c>
      <c r="O15" s="165">
        <v>52</v>
      </c>
      <c r="P15" s="165">
        <v>40</v>
      </c>
      <c r="Q15" s="165">
        <v>60</v>
      </c>
      <c r="R15" s="159">
        <v>64</v>
      </c>
      <c r="S15" s="160">
        <f t="shared" si="10"/>
        <v>32.700000000000003</v>
      </c>
      <c r="T15" s="160">
        <f t="shared" si="10"/>
        <v>34.799999999999997</v>
      </c>
      <c r="U15" s="163">
        <f t="shared" si="13"/>
        <v>77.498415359999996</v>
      </c>
      <c r="V15" s="163">
        <f>(N15*(D15*D15/4*3.14)*60)/100</f>
        <v>76.627818959999985</v>
      </c>
      <c r="W15" s="165">
        <f t="shared" si="14"/>
        <v>874.03566960000001</v>
      </c>
      <c r="X15" s="165">
        <f>(R15*(H15*H15/4*3.1415)*60)/100</f>
        <v>885.94522176000009</v>
      </c>
      <c r="Y15" s="165">
        <f t="shared" si="15"/>
        <v>84.424218624000005</v>
      </c>
      <c r="Z15" s="165">
        <f>(N15*(F15*F15/4*3.1415)*60/100)</f>
        <v>95.951324573999997</v>
      </c>
      <c r="AA15" s="160">
        <f t="shared" si="16"/>
        <v>23.695652173913047</v>
      </c>
      <c r="AB15" s="160">
        <f>(4*T15/D15)</f>
        <v>25.82560296846011</v>
      </c>
      <c r="AC15" s="163">
        <f t="shared" si="17"/>
        <v>43.165467625899282</v>
      </c>
      <c r="AD15" s="163">
        <f>(4*(R15/H15)/10)*10</f>
        <v>47.232472324723247</v>
      </c>
      <c r="AE15" s="163">
        <f t="shared" si="18"/>
        <v>60.736847930935262</v>
      </c>
      <c r="AF15" s="163">
        <f>(4*(Z15/H15)/10)*10</f>
        <v>70.812785663468631</v>
      </c>
      <c r="AG15" s="165">
        <f t="shared" si="20"/>
        <v>5466.3163137841739</v>
      </c>
      <c r="AH15" s="165">
        <f t="shared" si="20"/>
        <v>6373.1507097121766</v>
      </c>
      <c r="AI15" s="168">
        <f t="shared" si="19"/>
        <v>7.1584651411289918E-2</v>
      </c>
      <c r="AJ15" s="168">
        <f>(L15/AF15)</f>
        <v>0.16767932985574643</v>
      </c>
    </row>
    <row r="16" spans="1:36" x14ac:dyDescent="0.3">
      <c r="A16" s="159" t="s">
        <v>461</v>
      </c>
      <c r="B16" s="161" t="s">
        <v>453</v>
      </c>
      <c r="C16" s="167"/>
      <c r="D16" s="167"/>
      <c r="E16" s="167"/>
      <c r="F16" s="167"/>
      <c r="G16" s="167"/>
      <c r="H16" s="167"/>
      <c r="I16" s="162"/>
      <c r="J16" s="162"/>
      <c r="K16" s="162"/>
      <c r="L16" s="162"/>
      <c r="M16" s="164"/>
      <c r="N16" s="164"/>
      <c r="O16" s="166"/>
      <c r="P16" s="166"/>
      <c r="Q16" s="166"/>
      <c r="R16" s="167"/>
      <c r="S16" s="162"/>
      <c r="T16" s="162"/>
      <c r="U16" s="164"/>
      <c r="V16" s="164"/>
      <c r="W16" s="166"/>
      <c r="X16" s="166"/>
      <c r="Y16" s="166"/>
      <c r="Z16" s="166"/>
      <c r="AA16" s="162"/>
      <c r="AB16" s="162"/>
      <c r="AC16" s="164"/>
      <c r="AD16" s="164"/>
      <c r="AE16" s="164"/>
      <c r="AF16" s="164"/>
      <c r="AG16" s="166"/>
      <c r="AH16" s="166"/>
      <c r="AI16" s="169"/>
      <c r="AJ16" s="169"/>
    </row>
    <row r="17" spans="1:36" x14ac:dyDescent="0.3">
      <c r="A17" s="159" t="s">
        <v>462</v>
      </c>
      <c r="B17" s="159" t="s">
        <v>454</v>
      </c>
      <c r="C17" s="159">
        <v>5.93</v>
      </c>
      <c r="D17" s="159">
        <v>5.86</v>
      </c>
      <c r="E17" s="159">
        <v>6.16</v>
      </c>
      <c r="F17" s="159">
        <v>6.38</v>
      </c>
      <c r="G17" s="159">
        <v>5.9</v>
      </c>
      <c r="H17" s="159">
        <v>5.86</v>
      </c>
      <c r="I17" s="160">
        <f t="shared" ref="I17:J23" si="21">E17-C17</f>
        <v>0.23000000000000043</v>
      </c>
      <c r="J17" s="160">
        <f t="shared" si="21"/>
        <v>0.51999999999999957</v>
      </c>
      <c r="K17" s="160">
        <f t="shared" ref="K17:L23" si="22">(I17/C17)*100</f>
        <v>3.8785834738617275</v>
      </c>
      <c r="L17" s="160">
        <f t="shared" si="22"/>
        <v>8.873720136518763</v>
      </c>
      <c r="M17" s="163">
        <v>4.2</v>
      </c>
      <c r="N17" s="163">
        <v>4.9000000000000004</v>
      </c>
      <c r="O17" s="165">
        <v>25</v>
      </c>
      <c r="P17" s="165">
        <v>34</v>
      </c>
      <c r="Q17" s="165">
        <v>41</v>
      </c>
      <c r="R17" s="159">
        <v>45</v>
      </c>
      <c r="S17" s="160">
        <f t="shared" si="10"/>
        <v>22.6</v>
      </c>
      <c r="T17" s="160">
        <f t="shared" si="10"/>
        <v>24.95</v>
      </c>
      <c r="U17" s="163">
        <f t="shared" ref="U17:V23" si="23">(M17*(C17*C17/4*3.14)*60)/100</f>
        <v>69.563205180000011</v>
      </c>
      <c r="V17" s="163">
        <f t="shared" si="23"/>
        <v>79.252362840000018</v>
      </c>
      <c r="W17" s="165">
        <f t="shared" ref="W17:X23" si="24">(Q17*(G17*G17/4*3.1415)*60)/100</f>
        <v>672.53703225000015</v>
      </c>
      <c r="X17" s="165">
        <f t="shared" si="24"/>
        <v>728.17551045000016</v>
      </c>
      <c r="Y17" s="165">
        <f t="shared" ref="Y17:Z23" si="25">(M17*(E17*E17/4*3.1415)*60/100)</f>
        <v>75.099844512000004</v>
      </c>
      <c r="Z17" s="165">
        <f t="shared" si="25"/>
        <v>93.986561361</v>
      </c>
      <c r="AA17" s="160">
        <f t="shared" ref="AA17:AB23" si="26">(4*S17/C17)</f>
        <v>15.24451939291737</v>
      </c>
      <c r="AB17" s="160">
        <f t="shared" si="26"/>
        <v>17.030716723549485</v>
      </c>
      <c r="AC17" s="163">
        <f t="shared" ref="AC17:AD23" si="27">(4*(Q17/G17)/10)*10</f>
        <v>27.796610169491522</v>
      </c>
      <c r="AD17" s="163">
        <f t="shared" si="27"/>
        <v>30.716723549488052</v>
      </c>
      <c r="AE17" s="163">
        <f t="shared" ref="AE17:AF23" si="28">(4*(Y17/G17)/10)*10</f>
        <v>50.915148821694913</v>
      </c>
      <c r="AF17" s="163">
        <f t="shared" si="28"/>
        <v>64.154649393174054</v>
      </c>
      <c r="AG17" s="165">
        <f t="shared" ref="AG17:AH23" si="29">(AE17*90)</f>
        <v>4582.3633939525425</v>
      </c>
      <c r="AH17" s="165">
        <f t="shared" si="29"/>
        <v>5773.9184453856651</v>
      </c>
      <c r="AI17" s="168">
        <f t="shared" ref="AI17:AJ23" si="30">(K17/AE17)</f>
        <v>7.6177396386378923E-2</v>
      </c>
      <c r="AJ17" s="168">
        <f t="shared" si="30"/>
        <v>0.13831764681832884</v>
      </c>
    </row>
    <row r="18" spans="1:36" x14ac:dyDescent="0.3">
      <c r="A18" s="159" t="s">
        <v>463</v>
      </c>
      <c r="B18" s="159" t="s">
        <v>453</v>
      </c>
      <c r="C18" s="160">
        <v>6.7</v>
      </c>
      <c r="D18" s="160">
        <v>6.66</v>
      </c>
      <c r="E18" s="160">
        <v>6.84</v>
      </c>
      <c r="F18" s="160">
        <v>7.06</v>
      </c>
      <c r="G18" s="160">
        <v>6.68</v>
      </c>
      <c r="H18" s="160">
        <v>6.68</v>
      </c>
      <c r="I18" s="160">
        <f t="shared" si="21"/>
        <v>0.13999999999999968</v>
      </c>
      <c r="J18" s="160">
        <f t="shared" si="21"/>
        <v>0.39999999999999947</v>
      </c>
      <c r="K18" s="160">
        <f t="shared" si="22"/>
        <v>2.0895522388059655</v>
      </c>
      <c r="L18" s="160">
        <f t="shared" si="22"/>
        <v>6.0060060060059977</v>
      </c>
      <c r="M18" s="163">
        <v>4.2</v>
      </c>
      <c r="N18" s="163">
        <v>4.9000000000000004</v>
      </c>
      <c r="O18" s="159">
        <v>45</v>
      </c>
      <c r="P18" s="165">
        <v>44</v>
      </c>
      <c r="Q18" s="165">
        <v>49</v>
      </c>
      <c r="R18" s="159">
        <v>60</v>
      </c>
      <c r="S18" s="160">
        <f t="shared" si="10"/>
        <v>26.6</v>
      </c>
      <c r="T18" s="160">
        <f t="shared" si="10"/>
        <v>32.450000000000003</v>
      </c>
      <c r="U18" s="163">
        <f t="shared" si="23"/>
        <v>88.801398000000006</v>
      </c>
      <c r="V18" s="163">
        <f t="shared" si="23"/>
        <v>102.36828924000001</v>
      </c>
      <c r="W18" s="165">
        <f t="shared" si="24"/>
        <v>1030.3323315600001</v>
      </c>
      <c r="X18" s="165">
        <f t="shared" si="24"/>
        <v>1261.6314264</v>
      </c>
      <c r="Y18" s="165">
        <f t="shared" si="25"/>
        <v>92.595486311999991</v>
      </c>
      <c r="Z18" s="165">
        <f t="shared" si="25"/>
        <v>115.088997009</v>
      </c>
      <c r="AA18" s="160">
        <f t="shared" si="26"/>
        <v>15.880597014925373</v>
      </c>
      <c r="AB18" s="160">
        <f t="shared" si="26"/>
        <v>19.48948948948949</v>
      </c>
      <c r="AC18" s="163">
        <f t="shared" si="27"/>
        <v>29.341317365269461</v>
      </c>
      <c r="AD18" s="163">
        <f t="shared" si="27"/>
        <v>35.928143712574851</v>
      </c>
      <c r="AE18" s="163">
        <f t="shared" si="28"/>
        <v>55.446398989221557</v>
      </c>
      <c r="AF18" s="163">
        <f t="shared" si="28"/>
        <v>68.915567071257485</v>
      </c>
      <c r="AG18" s="165">
        <f t="shared" si="29"/>
        <v>4990.1759090299402</v>
      </c>
      <c r="AH18" s="165">
        <f t="shared" si="29"/>
        <v>6202.4010364131736</v>
      </c>
      <c r="AI18" s="168">
        <f t="shared" si="30"/>
        <v>3.7685986410265555E-2</v>
      </c>
      <c r="AJ18" s="168">
        <f t="shared" si="30"/>
        <v>8.7150208018979117E-2</v>
      </c>
    </row>
    <row r="19" spans="1:36" x14ac:dyDescent="0.3">
      <c r="A19" s="159" t="s">
        <v>464</v>
      </c>
      <c r="B19" s="159" t="s">
        <v>453</v>
      </c>
      <c r="C19" s="160">
        <v>6.69</v>
      </c>
      <c r="D19" s="160">
        <v>6.83</v>
      </c>
      <c r="E19" s="160">
        <v>7.03</v>
      </c>
      <c r="F19" s="160">
        <v>7.31</v>
      </c>
      <c r="G19" s="160">
        <v>6.64</v>
      </c>
      <c r="H19" s="160">
        <v>6.6</v>
      </c>
      <c r="I19" s="160">
        <f t="shared" si="21"/>
        <v>0.33999999999999986</v>
      </c>
      <c r="J19" s="160">
        <f t="shared" si="21"/>
        <v>0.47999999999999954</v>
      </c>
      <c r="K19" s="160">
        <f t="shared" si="22"/>
        <v>5.0822122571001476</v>
      </c>
      <c r="L19" s="160">
        <f t="shared" si="22"/>
        <v>7.0278184480234192</v>
      </c>
      <c r="M19" s="163">
        <v>5</v>
      </c>
      <c r="N19" s="163">
        <v>5.2</v>
      </c>
      <c r="O19" s="165">
        <v>48</v>
      </c>
      <c r="P19" s="165">
        <v>35</v>
      </c>
      <c r="Q19" s="165">
        <v>61</v>
      </c>
      <c r="R19" s="159">
        <v>64</v>
      </c>
      <c r="S19" s="160">
        <f t="shared" ref="S19:T24" si="31">(M19+Q19)/2</f>
        <v>33</v>
      </c>
      <c r="T19" s="160">
        <f t="shared" si="31"/>
        <v>34.6</v>
      </c>
      <c r="U19" s="163">
        <f t="shared" si="23"/>
        <v>105.40061550000001</v>
      </c>
      <c r="V19" s="163">
        <f t="shared" si="23"/>
        <v>114.25248588000001</v>
      </c>
      <c r="W19" s="165">
        <f t="shared" si="24"/>
        <v>1267.3434273599999</v>
      </c>
      <c r="X19" s="165">
        <f t="shared" si="24"/>
        <v>1313.6999040000001</v>
      </c>
      <c r="Y19" s="165">
        <f t="shared" si="25"/>
        <v>116.44181801250001</v>
      </c>
      <c r="Z19" s="165">
        <f t="shared" si="25"/>
        <v>130.93821635699999</v>
      </c>
      <c r="AA19" s="160">
        <f t="shared" si="26"/>
        <v>19.730941704035875</v>
      </c>
      <c r="AB19" s="160">
        <f t="shared" si="26"/>
        <v>20.263543191800878</v>
      </c>
      <c r="AC19" s="163">
        <f t="shared" si="27"/>
        <v>36.746987951807228</v>
      </c>
      <c r="AD19" s="163">
        <f t="shared" si="27"/>
        <v>38.787878787878789</v>
      </c>
      <c r="AE19" s="163">
        <f t="shared" si="28"/>
        <v>70.145673501506039</v>
      </c>
      <c r="AF19" s="163">
        <f t="shared" si="28"/>
        <v>79.356494761818183</v>
      </c>
      <c r="AG19" s="165">
        <f t="shared" si="29"/>
        <v>6313.1106151355434</v>
      </c>
      <c r="AH19" s="165">
        <f t="shared" si="29"/>
        <v>7142.0845285636369</v>
      </c>
      <c r="AI19" s="168">
        <f t="shared" si="30"/>
        <v>7.2452255476469718E-2</v>
      </c>
      <c r="AJ19" s="168">
        <f t="shared" si="30"/>
        <v>8.8560091636063598E-2</v>
      </c>
    </row>
    <row r="20" spans="1:36" x14ac:dyDescent="0.3">
      <c r="A20" s="159" t="s">
        <v>465</v>
      </c>
      <c r="B20" s="159" t="s">
        <v>454</v>
      </c>
      <c r="C20" s="159">
        <v>5.68</v>
      </c>
      <c r="D20" s="159">
        <v>5.58</v>
      </c>
      <c r="E20" s="159">
        <v>5.82</v>
      </c>
      <c r="F20" s="159">
        <v>6.03</v>
      </c>
      <c r="G20" s="159">
        <v>5.71</v>
      </c>
      <c r="H20" s="159">
        <v>5.56</v>
      </c>
      <c r="I20" s="160">
        <f t="shared" si="21"/>
        <v>0.14000000000000057</v>
      </c>
      <c r="J20" s="160">
        <f t="shared" si="21"/>
        <v>0.45000000000000018</v>
      </c>
      <c r="K20" s="160">
        <f t="shared" si="22"/>
        <v>2.4647887323943762</v>
      </c>
      <c r="L20" s="160">
        <f t="shared" si="22"/>
        <v>8.0645161290322598</v>
      </c>
      <c r="M20" s="163">
        <v>5.6</v>
      </c>
      <c r="N20" s="163">
        <v>6.6</v>
      </c>
      <c r="O20" s="165">
        <v>30</v>
      </c>
      <c r="P20" s="165">
        <v>42</v>
      </c>
      <c r="Q20" s="165">
        <v>42</v>
      </c>
      <c r="R20" s="159">
        <v>58</v>
      </c>
      <c r="S20" s="160">
        <f t="shared" si="31"/>
        <v>23.8</v>
      </c>
      <c r="T20" s="160">
        <f t="shared" si="31"/>
        <v>32.299999999999997</v>
      </c>
      <c r="U20" s="163">
        <f t="shared" si="23"/>
        <v>85.095306240000014</v>
      </c>
      <c r="V20" s="163">
        <f t="shared" si="23"/>
        <v>96.790613040000011</v>
      </c>
      <c r="W20" s="165">
        <f t="shared" si="24"/>
        <v>645.28241494500003</v>
      </c>
      <c r="X20" s="165">
        <f t="shared" si="24"/>
        <v>844.90114728000003</v>
      </c>
      <c r="Y20" s="165">
        <f t="shared" si="25"/>
        <v>89.384521464000002</v>
      </c>
      <c r="Z20" s="165">
        <f t="shared" si="25"/>
        <v>113.0854896765</v>
      </c>
      <c r="AA20" s="160">
        <f t="shared" si="26"/>
        <v>16.760563380281692</v>
      </c>
      <c r="AB20" s="160">
        <f t="shared" si="26"/>
        <v>23.154121863799279</v>
      </c>
      <c r="AC20" s="163">
        <f t="shared" si="27"/>
        <v>29.422066549912429</v>
      </c>
      <c r="AD20" s="163">
        <f t="shared" si="27"/>
        <v>41.726618705035975</v>
      </c>
      <c r="AE20" s="163">
        <f t="shared" si="28"/>
        <v>62.616127120140106</v>
      </c>
      <c r="AF20" s="163">
        <f t="shared" si="28"/>
        <v>81.356467393165474</v>
      </c>
      <c r="AG20" s="165">
        <f t="shared" si="29"/>
        <v>5635.4514408126097</v>
      </c>
      <c r="AH20" s="165">
        <f t="shared" si="29"/>
        <v>7322.0820653848923</v>
      </c>
      <c r="AI20" s="168">
        <f t="shared" si="30"/>
        <v>3.9363481035249011E-2</v>
      </c>
      <c r="AJ20" s="168">
        <f t="shared" si="30"/>
        <v>9.9125692000114257E-2</v>
      </c>
    </row>
    <row r="21" spans="1:36" x14ac:dyDescent="0.3">
      <c r="A21" s="159" t="s">
        <v>466</v>
      </c>
      <c r="B21" s="159" t="s">
        <v>454</v>
      </c>
      <c r="C21" s="159">
        <v>4.32</v>
      </c>
      <c r="D21" s="159">
        <v>4.12</v>
      </c>
      <c r="E21" s="159">
        <v>4.2699999999999996</v>
      </c>
      <c r="F21" s="159">
        <v>4.26</v>
      </c>
      <c r="G21" s="159">
        <v>4.3499999999999996</v>
      </c>
      <c r="H21" s="159">
        <v>4.16</v>
      </c>
      <c r="I21" s="160">
        <f t="shared" si="21"/>
        <v>-5.0000000000000711E-2</v>
      </c>
      <c r="J21" s="160">
        <f t="shared" si="21"/>
        <v>0.13999999999999968</v>
      </c>
      <c r="K21" s="160">
        <f t="shared" si="22"/>
        <v>-1.1574074074074239</v>
      </c>
      <c r="L21" s="160">
        <f t="shared" si="22"/>
        <v>3.3980582524271767</v>
      </c>
      <c r="M21" s="163">
        <v>4.7</v>
      </c>
      <c r="N21" s="163">
        <v>5.8</v>
      </c>
      <c r="O21" s="165">
        <v>32</v>
      </c>
      <c r="P21" s="165">
        <v>46</v>
      </c>
      <c r="Q21" s="165">
        <v>75</v>
      </c>
      <c r="R21" s="159">
        <v>88</v>
      </c>
      <c r="S21" s="160">
        <f t="shared" si="31"/>
        <v>39.85</v>
      </c>
      <c r="T21" s="160">
        <f t="shared" si="31"/>
        <v>46.9</v>
      </c>
      <c r="U21" s="163">
        <f t="shared" si="23"/>
        <v>41.312954880000007</v>
      </c>
      <c r="V21" s="163">
        <f t="shared" si="23"/>
        <v>46.37066592</v>
      </c>
      <c r="W21" s="165">
        <f t="shared" si="24"/>
        <v>668.75662968749998</v>
      </c>
      <c r="X21" s="165">
        <f t="shared" si="24"/>
        <v>717.62515968000025</v>
      </c>
      <c r="Y21" s="165">
        <f t="shared" si="25"/>
        <v>40.38145202175</v>
      </c>
      <c r="Z21" s="165">
        <f t="shared" si="25"/>
        <v>49.599296297999992</v>
      </c>
      <c r="AA21" s="160">
        <f t="shared" si="26"/>
        <v>36.898148148148145</v>
      </c>
      <c r="AB21" s="160">
        <f t="shared" si="26"/>
        <v>45.533980582524272</v>
      </c>
      <c r="AC21" s="163">
        <f t="shared" si="27"/>
        <v>68.965517241379317</v>
      </c>
      <c r="AD21" s="163">
        <f t="shared" si="27"/>
        <v>84.615384615384613</v>
      </c>
      <c r="AE21" s="163">
        <f t="shared" si="28"/>
        <v>37.13236967517242</v>
      </c>
      <c r="AF21" s="163">
        <f t="shared" si="28"/>
        <v>47.691631055769221</v>
      </c>
      <c r="AG21" s="165">
        <f t="shared" si="29"/>
        <v>3341.9132707655176</v>
      </c>
      <c r="AH21" s="165">
        <f t="shared" si="29"/>
        <v>4292.2467950192295</v>
      </c>
      <c r="AI21" s="168">
        <f>(K21/AE21)</f>
        <v>-3.1169769598122198E-2</v>
      </c>
      <c r="AJ21" s="168">
        <f t="shared" si="30"/>
        <v>7.1250619389669964E-2</v>
      </c>
    </row>
    <row r="22" spans="1:36" x14ac:dyDescent="0.3">
      <c r="A22" s="159" t="s">
        <v>467</v>
      </c>
      <c r="B22" s="159" t="s">
        <v>453</v>
      </c>
      <c r="C22" s="160">
        <v>4.78</v>
      </c>
      <c r="D22" s="160">
        <v>4.88</v>
      </c>
      <c r="E22" s="160">
        <v>5.21</v>
      </c>
      <c r="F22" s="160">
        <v>5.4</v>
      </c>
      <c r="G22" s="160">
        <v>4.76</v>
      </c>
      <c r="H22" s="160">
        <v>4.84</v>
      </c>
      <c r="I22" s="160">
        <f t="shared" si="21"/>
        <v>0.42999999999999972</v>
      </c>
      <c r="J22" s="160">
        <f t="shared" si="21"/>
        <v>0.52000000000000046</v>
      </c>
      <c r="K22" s="160">
        <f t="shared" si="22"/>
        <v>8.9958158995815829</v>
      </c>
      <c r="L22" s="160">
        <f t="shared" si="22"/>
        <v>10.655737704918042</v>
      </c>
      <c r="M22" s="163">
        <v>4.7</v>
      </c>
      <c r="N22" s="163">
        <v>4.7</v>
      </c>
      <c r="O22" s="165">
        <v>34</v>
      </c>
      <c r="P22" s="165">
        <v>40</v>
      </c>
      <c r="Q22" s="165">
        <v>112</v>
      </c>
      <c r="R22" s="159">
        <v>56</v>
      </c>
      <c r="S22" s="160">
        <f t="shared" si="31"/>
        <v>58.35</v>
      </c>
      <c r="T22" s="160">
        <f t="shared" si="31"/>
        <v>30.35</v>
      </c>
      <c r="U22" s="163">
        <f t="shared" si="23"/>
        <v>50.579503080000002</v>
      </c>
      <c r="V22" s="163">
        <f t="shared" si="23"/>
        <v>52.717937280000008</v>
      </c>
      <c r="W22" s="165">
        <f t="shared" si="24"/>
        <v>1195.8046867200001</v>
      </c>
      <c r="X22" s="165">
        <f t="shared" si="24"/>
        <v>618.16878815999996</v>
      </c>
      <c r="Y22" s="165">
        <f t="shared" si="25"/>
        <v>60.117599055750006</v>
      </c>
      <c r="Z22" s="165">
        <f t="shared" si="25"/>
        <v>64.582328700000005</v>
      </c>
      <c r="AA22" s="160">
        <f t="shared" si="26"/>
        <v>48.828451882845187</v>
      </c>
      <c r="AB22" s="160">
        <f t="shared" si="26"/>
        <v>24.877049180327869</v>
      </c>
      <c r="AC22" s="163">
        <f t="shared" si="27"/>
        <v>94.117647058823536</v>
      </c>
      <c r="AD22" s="163">
        <f t="shared" si="27"/>
        <v>46.280991735537199</v>
      </c>
      <c r="AE22" s="163">
        <f t="shared" si="28"/>
        <v>50.518990803151269</v>
      </c>
      <c r="AF22" s="163">
        <f t="shared" si="28"/>
        <v>53.373825371900836</v>
      </c>
      <c r="AG22" s="165">
        <f t="shared" si="29"/>
        <v>4546.709172283614</v>
      </c>
      <c r="AH22" s="165">
        <f t="shared" si="29"/>
        <v>4803.6442834710751</v>
      </c>
      <c r="AI22" s="168">
        <f t="shared" si="30"/>
        <v>0.1780680048545317</v>
      </c>
      <c r="AJ22" s="168">
        <f t="shared" si="30"/>
        <v>0.19964350748087578</v>
      </c>
    </row>
    <row r="23" spans="1:36" x14ac:dyDescent="0.3">
      <c r="A23" s="159" t="s">
        <v>468</v>
      </c>
      <c r="B23" s="159" t="s">
        <v>453</v>
      </c>
      <c r="C23" s="160">
        <v>7.42</v>
      </c>
      <c r="D23" s="160">
        <v>7.49</v>
      </c>
      <c r="E23" s="160">
        <v>8.27</v>
      </c>
      <c r="F23" s="160">
        <v>8.2899999999999991</v>
      </c>
      <c r="G23" s="160">
        <v>7.4</v>
      </c>
      <c r="H23" s="160">
        <v>7.42</v>
      </c>
      <c r="I23" s="160">
        <f t="shared" si="21"/>
        <v>0.84999999999999964</v>
      </c>
      <c r="J23" s="160">
        <f t="shared" si="21"/>
        <v>0.79999999999999893</v>
      </c>
      <c r="K23" s="160">
        <f t="shared" si="22"/>
        <v>11.455525606468999</v>
      </c>
      <c r="L23" s="160">
        <f t="shared" si="22"/>
        <v>10.680907877169545</v>
      </c>
      <c r="M23" s="163">
        <v>3.5</v>
      </c>
      <c r="N23" s="163">
        <v>4.4000000000000004</v>
      </c>
      <c r="O23" s="165">
        <v>32</v>
      </c>
      <c r="P23" s="165">
        <v>40</v>
      </c>
      <c r="Q23" s="165">
        <v>67</v>
      </c>
      <c r="R23" s="159">
        <v>52</v>
      </c>
      <c r="S23" s="160">
        <f t="shared" si="31"/>
        <v>35.25</v>
      </c>
      <c r="T23" s="160">
        <f t="shared" si="31"/>
        <v>28.2</v>
      </c>
      <c r="U23" s="163">
        <f t="shared" si="23"/>
        <v>90.76047539999999</v>
      </c>
      <c r="V23" s="163">
        <f t="shared" si="23"/>
        <v>116.26184724000002</v>
      </c>
      <c r="W23" s="165">
        <f t="shared" si="24"/>
        <v>1728.886827</v>
      </c>
      <c r="X23" s="165">
        <f t="shared" si="24"/>
        <v>1349.0855086800002</v>
      </c>
      <c r="Y23" s="165">
        <f t="shared" si="25"/>
        <v>112.79955505875002</v>
      </c>
      <c r="Z23" s="165">
        <f t="shared" si="25"/>
        <v>142.491861699</v>
      </c>
      <c r="AA23" s="160">
        <f t="shared" si="26"/>
        <v>19.002695417789759</v>
      </c>
      <c r="AB23" s="160">
        <f t="shared" si="26"/>
        <v>15.060080106809078</v>
      </c>
      <c r="AC23" s="163">
        <f t="shared" si="27"/>
        <v>36.216216216216218</v>
      </c>
      <c r="AD23" s="163">
        <f t="shared" si="27"/>
        <v>28.032345013477091</v>
      </c>
      <c r="AE23" s="163">
        <f t="shared" si="28"/>
        <v>60.972732464189193</v>
      </c>
      <c r="AF23" s="163">
        <f t="shared" si="28"/>
        <v>76.815019783827495</v>
      </c>
      <c r="AG23" s="165">
        <f t="shared" si="29"/>
        <v>5487.5459217770276</v>
      </c>
      <c r="AH23" s="165">
        <f t="shared" si="29"/>
        <v>6913.3517805444744</v>
      </c>
      <c r="AI23" s="168">
        <f t="shared" si="30"/>
        <v>0.18787948552571621</v>
      </c>
      <c r="AJ23" s="168">
        <f t="shared" si="30"/>
        <v>0.13904712785634518</v>
      </c>
    </row>
    <row r="24" spans="1:36" x14ac:dyDescent="0.3">
      <c r="A24" s="159" t="s">
        <v>388</v>
      </c>
      <c r="B24" s="161" t="s">
        <v>453</v>
      </c>
      <c r="C24" s="160">
        <v>5.94</v>
      </c>
      <c r="D24" s="162"/>
      <c r="E24" s="160">
        <v>6.67</v>
      </c>
      <c r="F24" s="162"/>
      <c r="G24" s="160">
        <v>5.9</v>
      </c>
      <c r="H24" s="162"/>
      <c r="I24" s="160">
        <f>E24-C24</f>
        <v>0.72999999999999954</v>
      </c>
      <c r="J24" s="162"/>
      <c r="K24" s="160">
        <f>(I24/C24)*100</f>
        <v>12.28956228956228</v>
      </c>
      <c r="L24" s="162"/>
      <c r="M24" s="163">
        <v>4</v>
      </c>
      <c r="N24" s="164"/>
      <c r="O24" s="165">
        <v>46</v>
      </c>
      <c r="P24" s="166"/>
      <c r="Q24" s="165">
        <v>130</v>
      </c>
      <c r="R24" s="167"/>
      <c r="S24" s="160">
        <f t="shared" si="31"/>
        <v>67</v>
      </c>
      <c r="T24" s="162"/>
      <c r="U24" s="163">
        <f>(M24*(C24*C24/4*3.14)*60)/100</f>
        <v>66.474302400000013</v>
      </c>
      <c r="V24" s="167"/>
      <c r="W24" s="165">
        <f>(Q24*(G24*G24/4*3.1415)*60)/100</f>
        <v>2132.4344925000005</v>
      </c>
      <c r="X24" s="166"/>
      <c r="Y24" s="165">
        <f>(M24*(E24*E24/4*3.1415)*60/100)</f>
        <v>83.857127610000006</v>
      </c>
      <c r="Z24" s="166"/>
      <c r="AA24" s="160">
        <f>(4*S24/C24)</f>
        <v>45.117845117845114</v>
      </c>
      <c r="AB24" s="162"/>
      <c r="AC24" s="163">
        <f>(4*(Q24/G24)/10)*10</f>
        <v>88.135593220338976</v>
      </c>
      <c r="AD24" s="164"/>
      <c r="AE24" s="163">
        <f>(4*(Y24/G24)/10)*10</f>
        <v>56.852289905084746</v>
      </c>
      <c r="AF24" s="164"/>
      <c r="AG24" s="164"/>
      <c r="AH24" s="164"/>
      <c r="AI24" s="168">
        <f>(K24/AE24)</f>
        <v>0.21616653102416422</v>
      </c>
      <c r="AJ24" s="169"/>
    </row>
    <row r="25" spans="1:36" x14ac:dyDescent="0.3">
      <c r="A25" s="159" t="s">
        <v>469</v>
      </c>
      <c r="B25" s="161" t="s">
        <v>453</v>
      </c>
      <c r="C25" s="162"/>
      <c r="D25" s="162"/>
      <c r="E25" s="162"/>
      <c r="F25" s="162"/>
      <c r="G25" s="162"/>
      <c r="H25" s="162"/>
      <c r="I25" s="162"/>
      <c r="J25" s="162"/>
      <c r="K25" s="162"/>
      <c r="L25" s="162"/>
      <c r="M25" s="164"/>
      <c r="N25" s="164"/>
      <c r="O25" s="166"/>
      <c r="P25" s="166"/>
      <c r="Q25" s="166"/>
      <c r="R25" s="167"/>
      <c r="S25" s="162"/>
      <c r="T25" s="162"/>
      <c r="U25" s="164"/>
      <c r="V25" s="164"/>
      <c r="W25" s="166"/>
      <c r="X25" s="166"/>
      <c r="Y25" s="166"/>
      <c r="Z25" s="166"/>
      <c r="AA25" s="162"/>
      <c r="AB25" s="162"/>
      <c r="AC25" s="164"/>
      <c r="AD25" s="164"/>
      <c r="AE25" s="164"/>
      <c r="AF25" s="164"/>
      <c r="AG25" s="166"/>
      <c r="AH25" s="166"/>
      <c r="AI25" s="169"/>
      <c r="AJ25" s="169"/>
    </row>
    <row r="26" spans="1:36" x14ac:dyDescent="0.3">
      <c r="A26" s="159" t="s">
        <v>389</v>
      </c>
      <c r="B26" s="159" t="s">
        <v>453</v>
      </c>
      <c r="C26" s="160">
        <v>4.5199999999999996</v>
      </c>
      <c r="D26" s="160">
        <v>4.3899999999999997</v>
      </c>
      <c r="E26" s="160">
        <v>4.76</v>
      </c>
      <c r="F26" s="160">
        <v>4.53</v>
      </c>
      <c r="G26" s="160">
        <v>4.54</v>
      </c>
      <c r="H26" s="160">
        <v>4.3600000000000003</v>
      </c>
      <c r="I26" s="160">
        <f>E26-C26</f>
        <v>0.24000000000000021</v>
      </c>
      <c r="J26" s="160">
        <f>F26-D26</f>
        <v>0.14000000000000057</v>
      </c>
      <c r="K26" s="160">
        <f>(I26/C26)*100</f>
        <v>5.3097345132743419</v>
      </c>
      <c r="L26" s="160">
        <f>(J26/D26)*100</f>
        <v>3.1890660592255262</v>
      </c>
      <c r="M26" s="163">
        <v>5.9</v>
      </c>
      <c r="N26" s="163">
        <v>5.5</v>
      </c>
      <c r="O26" s="165">
        <v>46</v>
      </c>
      <c r="P26" s="165">
        <v>42</v>
      </c>
      <c r="Q26" s="165">
        <v>65</v>
      </c>
      <c r="R26" s="159">
        <v>64</v>
      </c>
      <c r="S26" s="160">
        <f>(M26+Q26)/2</f>
        <v>35.450000000000003</v>
      </c>
      <c r="T26" s="160">
        <f>(N26+R26)/2</f>
        <v>34.75</v>
      </c>
      <c r="U26" s="163">
        <f>(M26*(C26*C26/4*3.14)*60)/100</f>
        <v>56.774038559999987</v>
      </c>
      <c r="V26" s="163">
        <f>(N26*(D26*D26/4*3.14)*60)/100</f>
        <v>49.924375050000002</v>
      </c>
      <c r="W26" s="165">
        <f>(Q26*(G26*G26/4*3.1415)*60)/100</f>
        <v>631.32557865000012</v>
      </c>
      <c r="X26" s="165">
        <f>(R26*(H26*H26/4*3.1415)*60)/100</f>
        <v>573.29912064000007</v>
      </c>
      <c r="Y26" s="165">
        <f>(M26*(E26*E26/4*3.1415)*60/100)</f>
        <v>62.993282604000008</v>
      </c>
      <c r="Z26" s="165">
        <f>(N26*(F26*F26/4*3.1415)*60/100)</f>
        <v>53.18478606375001</v>
      </c>
      <c r="AA26" s="160">
        <f>(4*S26/C26)</f>
        <v>31.37168141592921</v>
      </c>
      <c r="AB26" s="160">
        <f>(4*T26/D26)</f>
        <v>31.662870159453306</v>
      </c>
      <c r="AC26" s="163">
        <f>(4*(Q26/G26)/10)*10</f>
        <v>57.268722466960355</v>
      </c>
      <c r="AD26" s="163">
        <f>(4*(R26/H26)/10)*10</f>
        <v>58.715596330275226</v>
      </c>
      <c r="AE26" s="163">
        <f>(4*(Y26/G26)/10)*10</f>
        <v>55.500689518942735</v>
      </c>
      <c r="AF26" s="163">
        <f>(4*(Z26/H26)/10)*10</f>
        <v>48.793381709862388</v>
      </c>
      <c r="AG26" s="165">
        <f>(AE26*90)</f>
        <v>4995.0620567048463</v>
      </c>
      <c r="AH26" s="165">
        <f>(AF26*90)</f>
        <v>4391.4043538876149</v>
      </c>
      <c r="AI26" s="168">
        <f>(K26/AE26)</f>
        <v>9.5669703553180108E-2</v>
      </c>
      <c r="AJ26" s="168">
        <f>(L26/AF26)</f>
        <v>6.5358578304502604E-2</v>
      </c>
    </row>
    <row r="27" spans="1:36" x14ac:dyDescent="0.3">
      <c r="A27" s="159" t="s">
        <v>390</v>
      </c>
      <c r="B27" s="161" t="s">
        <v>454</v>
      </c>
      <c r="C27" s="160">
        <v>7.82</v>
      </c>
      <c r="D27" s="162"/>
      <c r="E27" s="160">
        <v>8.68</v>
      </c>
      <c r="F27" s="162"/>
      <c r="G27" s="160">
        <v>7.8</v>
      </c>
      <c r="H27" s="162"/>
      <c r="I27" s="160">
        <f>E27-C27</f>
        <v>0.85999999999999943</v>
      </c>
      <c r="J27" s="162"/>
      <c r="K27" s="160">
        <f>(I27/C27)*100</f>
        <v>10.997442455242959</v>
      </c>
      <c r="L27" s="162"/>
      <c r="M27" s="163">
        <v>3.5</v>
      </c>
      <c r="N27" s="164"/>
      <c r="O27" s="166"/>
      <c r="P27" s="166"/>
      <c r="Q27" s="165">
        <v>42</v>
      </c>
      <c r="R27" s="167"/>
      <c r="S27" s="160">
        <f t="shared" ref="S27:S29" si="32">(M27+Q27)/2</f>
        <v>22.75</v>
      </c>
      <c r="T27" s="162"/>
      <c r="U27" s="163">
        <f>(M27*(C27*C27/4*3.14)*60)/100</f>
        <v>100.80973140000002</v>
      </c>
      <c r="V27" s="164"/>
      <c r="W27" s="165">
        <f>(Q27*(G27*G27/4*3.1415)*60)/100</f>
        <v>1204.1118180000001</v>
      </c>
      <c r="X27" s="166"/>
      <c r="Y27" s="165">
        <f>(M27*(E27*E27/4*3.1415)*60/100)</f>
        <v>124.26127854000001</v>
      </c>
      <c r="Z27" s="166"/>
      <c r="AA27" s="160">
        <f>(4*S27/C27)</f>
        <v>11.636828644501279</v>
      </c>
      <c r="AB27" s="162"/>
      <c r="AC27" s="163">
        <f>(4*(Q27/G27)/10)*10</f>
        <v>21.53846153846154</v>
      </c>
      <c r="AD27" s="164"/>
      <c r="AE27" s="163">
        <f>(4*(Y27/G27)/10)*10</f>
        <v>63.723732584615391</v>
      </c>
      <c r="AF27" s="164"/>
      <c r="AG27" s="166"/>
      <c r="AH27" s="166"/>
      <c r="AI27" s="168">
        <f>(K27/AE27)</f>
        <v>0.17258001076192506</v>
      </c>
      <c r="AJ27" s="169"/>
    </row>
    <row r="28" spans="1:36" x14ac:dyDescent="0.3">
      <c r="A28" s="159" t="s">
        <v>470</v>
      </c>
      <c r="B28" s="159" t="s">
        <v>454</v>
      </c>
      <c r="C28" s="159">
        <v>6.16</v>
      </c>
      <c r="D28" s="159">
        <v>6.07</v>
      </c>
      <c r="E28" s="159">
        <v>6.34</v>
      </c>
      <c r="F28" s="159">
        <v>6.27</v>
      </c>
      <c r="G28" s="159">
        <v>6.12</v>
      </c>
      <c r="H28" s="159">
        <v>6.13</v>
      </c>
      <c r="I28" s="160">
        <f>E28-C28</f>
        <v>0.17999999999999972</v>
      </c>
      <c r="J28" s="160">
        <f>F28-D28</f>
        <v>0.19999999999999929</v>
      </c>
      <c r="K28" s="160">
        <f>(I28/C28)*100</f>
        <v>2.9220779220779174</v>
      </c>
      <c r="L28" s="160">
        <f>(J28/D28)*100</f>
        <v>3.2948929159802187</v>
      </c>
      <c r="M28" s="163">
        <v>7.2</v>
      </c>
      <c r="N28" s="163">
        <v>6.2</v>
      </c>
      <c r="O28" s="165">
        <v>48</v>
      </c>
      <c r="P28" s="165">
        <v>40</v>
      </c>
      <c r="Q28" s="165">
        <v>110</v>
      </c>
      <c r="R28" s="159">
        <v>60</v>
      </c>
      <c r="S28" s="160">
        <f t="shared" si="32"/>
        <v>58.6</v>
      </c>
      <c r="T28" s="160">
        <f>(N28+R28)/2</f>
        <v>33.1</v>
      </c>
      <c r="U28" s="163">
        <f>(M28*(C28*C28/4*3.14)*60)/100</f>
        <v>128.68111872</v>
      </c>
      <c r="V28" s="163">
        <f>(N28*(D28*D28/4*3.14)*60)/100</f>
        <v>107.59447698000002</v>
      </c>
      <c r="W28" s="165">
        <f>(Q28*(G28*G28/4*3.1415)*60)/100</f>
        <v>1941.4394604000004</v>
      </c>
      <c r="X28" s="165">
        <f>(R28*(H28*H28/4*3.1415)*60)/100</f>
        <v>1062.43048215</v>
      </c>
      <c r="Y28" s="165">
        <f>(M28*(E28*E28/4*3.1415)*60/100)</f>
        <v>136.37643559200001</v>
      </c>
      <c r="Z28" s="165">
        <f>(N28*(F28*F28/4*3.1415)*60/100)</f>
        <v>114.85637207549999</v>
      </c>
      <c r="AA28" s="160">
        <f>(4*S28/C28)</f>
        <v>38.051948051948052</v>
      </c>
      <c r="AB28" s="160">
        <f>(4*T28/D28)</f>
        <v>21.812191103789125</v>
      </c>
      <c r="AC28" s="163">
        <f>(4*(Q28/G28)/10)*10</f>
        <v>71.895424836601308</v>
      </c>
      <c r="AD28" s="163">
        <f>(4*(R28/H28)/10)*10</f>
        <v>39.151712887438826</v>
      </c>
      <c r="AE28" s="163">
        <f>(4*(Y28/G28)/10)*10</f>
        <v>89.134925223529422</v>
      </c>
      <c r="AF28" s="163">
        <f>(4*(Z28/H28)/10)*10</f>
        <v>74.947061713213699</v>
      </c>
      <c r="AG28" s="165">
        <f>(AE28*90)</f>
        <v>8022.1432701176482</v>
      </c>
      <c r="AH28" s="165">
        <f>(AF28*90)</f>
        <v>6745.235554189233</v>
      </c>
      <c r="AI28" s="168">
        <f>(K28/AE28)</f>
        <v>3.278263727433476E-2</v>
      </c>
      <c r="AJ28" s="168">
        <f>(L28/AF28)</f>
        <v>4.3962936513617927E-2</v>
      </c>
    </row>
    <row r="29" spans="1:36" x14ac:dyDescent="0.3">
      <c r="A29" s="159" t="s">
        <v>471</v>
      </c>
      <c r="B29" s="159" t="s">
        <v>454</v>
      </c>
      <c r="C29" s="159">
        <v>5.41</v>
      </c>
      <c r="D29" s="159">
        <v>5.47</v>
      </c>
      <c r="E29" s="159">
        <v>5.9</v>
      </c>
      <c r="F29" s="159">
        <v>5.92</v>
      </c>
      <c r="G29" s="159">
        <v>5.43</v>
      </c>
      <c r="H29" s="159">
        <v>5.5</v>
      </c>
      <c r="I29" s="160">
        <f>E29-C29</f>
        <v>0.49000000000000021</v>
      </c>
      <c r="J29" s="160">
        <f>F29-D29</f>
        <v>0.45000000000000018</v>
      </c>
      <c r="K29" s="160">
        <f>(I29/C29)*100</f>
        <v>9.0573012939001885</v>
      </c>
      <c r="L29" s="160">
        <f>(J29/D29)*100</f>
        <v>8.2266910420475359</v>
      </c>
      <c r="M29" s="163">
        <v>7.4</v>
      </c>
      <c r="N29" s="163">
        <v>6.8</v>
      </c>
      <c r="O29" s="165">
        <v>47</v>
      </c>
      <c r="P29" s="165">
        <v>38</v>
      </c>
      <c r="Q29" s="165">
        <v>106</v>
      </c>
      <c r="R29" s="159">
        <v>34</v>
      </c>
      <c r="S29" s="160">
        <f t="shared" si="32"/>
        <v>56.7</v>
      </c>
      <c r="T29" s="160">
        <f>(N29+R29)/2</f>
        <v>20.399999999999999</v>
      </c>
      <c r="U29" s="163">
        <f>(M29*(C29*C29/4*3.14)*60)/100</f>
        <v>102.01103574000001</v>
      </c>
      <c r="V29" s="163">
        <f>(N29*(D29*D29/4*3.14)*60)/100</f>
        <v>95.830658519999986</v>
      </c>
      <c r="W29" s="165">
        <f>(Q29*(G29*G29/4*3.1415)*60)/100</f>
        <v>1472.7663322650001</v>
      </c>
      <c r="X29" s="165">
        <f>(R29*(H29*H29/4*3.1415)*60)/100</f>
        <v>484.65491250000008</v>
      </c>
      <c r="Y29" s="165">
        <f>(M29*(E29*E29/4*3.1415)*60/100)</f>
        <v>121.38473265000002</v>
      </c>
      <c r="Z29" s="165">
        <f>(N29*(F29*F29/4*3.1415)*60/100)</f>
        <v>112.300230912</v>
      </c>
      <c r="AA29" s="160">
        <f>(4*S29/C29)</f>
        <v>41.922365988909426</v>
      </c>
      <c r="AB29" s="160">
        <f>(4*T29/D29)</f>
        <v>14.917733089579524</v>
      </c>
      <c r="AC29" s="163">
        <f>(4*(Q29/G29)/10)*10</f>
        <v>78.08471454880295</v>
      </c>
      <c r="AD29" s="163">
        <f>(4*(R29/H29)/10)*10</f>
        <v>24.727272727272727</v>
      </c>
      <c r="AE29" s="163">
        <f>(4*(Y29/G29)/10)*10</f>
        <v>89.41785093922654</v>
      </c>
      <c r="AF29" s="163">
        <f>(4*(Z29/H29)/10)*10</f>
        <v>81.672895208727269</v>
      </c>
      <c r="AG29" s="165">
        <f>(AE29*90)</f>
        <v>8047.6065845303883</v>
      </c>
      <c r="AH29" s="165">
        <f>(AF29*90)</f>
        <v>7350.5605687854541</v>
      </c>
      <c r="AI29" s="168">
        <f>(K29/AE29)</f>
        <v>0.10129186956255576</v>
      </c>
      <c r="AJ29" s="168">
        <f>(L29/AF29)</f>
        <v>0.1007273100950199</v>
      </c>
    </row>
    <row r="30" spans="1:36" x14ac:dyDescent="0.3">
      <c r="A30" s="159" t="s">
        <v>472</v>
      </c>
      <c r="B30" s="161" t="s">
        <v>454</v>
      </c>
      <c r="C30" s="162"/>
      <c r="D30" s="162"/>
      <c r="E30" s="162"/>
      <c r="F30" s="162"/>
      <c r="G30" s="162"/>
      <c r="H30" s="162"/>
      <c r="I30" s="162"/>
      <c r="J30" s="162"/>
      <c r="K30" s="162"/>
      <c r="L30" s="162"/>
      <c r="M30" s="164"/>
      <c r="N30" s="164"/>
      <c r="O30" s="166"/>
      <c r="P30" s="166"/>
      <c r="Q30" s="166"/>
      <c r="R30" s="167"/>
      <c r="S30" s="162"/>
      <c r="T30" s="162"/>
      <c r="U30" s="164"/>
      <c r="V30" s="164"/>
      <c r="W30" s="166"/>
      <c r="X30" s="166"/>
      <c r="Y30" s="166"/>
      <c r="Z30" s="166"/>
      <c r="AA30" s="162"/>
      <c r="AB30" s="162"/>
      <c r="AC30" s="164"/>
      <c r="AD30" s="164"/>
      <c r="AE30" s="164"/>
      <c r="AF30" s="164"/>
      <c r="AG30" s="166"/>
      <c r="AH30" s="166"/>
      <c r="AI30" s="169"/>
      <c r="AJ30" s="169"/>
    </row>
    <row r="31" spans="1:36" x14ac:dyDescent="0.3">
      <c r="A31" s="159" t="s">
        <v>391</v>
      </c>
      <c r="B31" s="159" t="s">
        <v>453</v>
      </c>
      <c r="C31" s="162"/>
      <c r="D31" s="160">
        <v>3.53</v>
      </c>
      <c r="E31" s="162"/>
      <c r="F31" s="160">
        <v>3.71</v>
      </c>
      <c r="G31" s="162"/>
      <c r="H31" s="160">
        <v>3.5</v>
      </c>
      <c r="I31" s="162"/>
      <c r="J31" s="160">
        <f>F31-D31</f>
        <v>0.18000000000000016</v>
      </c>
      <c r="K31" s="162"/>
      <c r="L31" s="160">
        <f>(J31/D31)*100</f>
        <v>5.0991501416430642</v>
      </c>
      <c r="M31" s="164" t="s">
        <v>473</v>
      </c>
      <c r="N31" s="163">
        <v>5.0999999999999996</v>
      </c>
      <c r="O31" s="166"/>
      <c r="P31" s="165">
        <v>50</v>
      </c>
      <c r="Q31" s="166"/>
      <c r="R31" s="159">
        <v>64</v>
      </c>
      <c r="S31" s="162"/>
      <c r="T31" s="160">
        <f>(N31+R31)/2</f>
        <v>34.549999999999997</v>
      </c>
      <c r="U31" s="164"/>
      <c r="V31" s="163">
        <f>(N31*(D31*D31/4*3.14)*60)/100</f>
        <v>29.932327889999996</v>
      </c>
      <c r="W31" s="166"/>
      <c r="X31" s="165">
        <f>(R31*(H31*H31/4*3.1415)*60)/100</f>
        <v>369.44040000000001</v>
      </c>
      <c r="Y31" s="166"/>
      <c r="Z31" s="165">
        <f>(N31*(F31*F31/4*3.1415)*60/100)</f>
        <v>33.078538914749998</v>
      </c>
      <c r="AA31" s="162"/>
      <c r="AB31" s="160">
        <f>(4*T31/D31)</f>
        <v>39.150141643059492</v>
      </c>
      <c r="AC31" s="164"/>
      <c r="AD31" s="163">
        <f>(4*(R31/H31)/10)*10</f>
        <v>73.142857142857139</v>
      </c>
      <c r="AE31" s="164"/>
      <c r="AF31" s="163">
        <f>(4*(Z31/H31)/10)*10</f>
        <v>37.804044474000001</v>
      </c>
      <c r="AG31" s="165">
        <f>(AE31*90)</f>
        <v>0</v>
      </c>
      <c r="AH31" s="165">
        <f>(AF31*90)</f>
        <v>3402.3640026600001</v>
      </c>
      <c r="AI31" s="169"/>
      <c r="AJ31" s="168">
        <f>(L31/AF31)</f>
        <v>0.13488371978691435</v>
      </c>
    </row>
    <row r="32" spans="1:36" x14ac:dyDescent="0.3">
      <c r="I32" s="159"/>
      <c r="J32" s="159"/>
      <c r="K32" s="160"/>
      <c r="L32" s="160"/>
    </row>
    <row r="33" spans="2:37" x14ac:dyDescent="0.3">
      <c r="B33" s="170"/>
      <c r="D33" s="160"/>
      <c r="E33" s="160"/>
      <c r="F33" s="160"/>
      <c r="G33" s="160"/>
      <c r="H33" s="160"/>
      <c r="K33" s="160"/>
      <c r="L33" s="160"/>
      <c r="M33" s="160"/>
      <c r="N33" s="160"/>
      <c r="O33" s="160"/>
      <c r="P33" s="160"/>
      <c r="Q33" s="160"/>
      <c r="R33" s="160"/>
      <c r="S33" s="160"/>
      <c r="T33" s="160"/>
      <c r="U33" s="160"/>
      <c r="V33" s="160"/>
      <c r="W33" s="160"/>
      <c r="X33" s="160"/>
      <c r="Y33" s="160"/>
      <c r="Z33" s="160"/>
      <c r="AA33" s="160"/>
      <c r="AB33" s="160"/>
      <c r="AC33" s="160"/>
      <c r="AD33" s="160"/>
      <c r="AF33" s="160"/>
      <c r="AG33" s="160"/>
      <c r="AH33" s="160"/>
      <c r="AI33" s="160"/>
      <c r="AJ33" s="160"/>
      <c r="AK33" s="171"/>
    </row>
    <row r="34" spans="2:37" x14ac:dyDescent="0.3">
      <c r="B34" s="170"/>
      <c r="D34" s="160"/>
      <c r="E34" s="160"/>
      <c r="F34" s="160"/>
      <c r="G34" s="160"/>
      <c r="H34" s="160"/>
      <c r="K34" s="160"/>
      <c r="L34" s="160"/>
      <c r="M34" s="160"/>
      <c r="N34" s="160"/>
      <c r="O34" s="160"/>
      <c r="P34" s="160"/>
      <c r="Q34" s="160"/>
      <c r="R34" s="160"/>
      <c r="S34" s="160"/>
      <c r="T34" s="160"/>
      <c r="U34" s="160"/>
      <c r="V34" s="160"/>
      <c r="W34" s="160"/>
      <c r="X34" s="160"/>
      <c r="Y34" s="160"/>
      <c r="Z34" s="160"/>
      <c r="AA34" s="160"/>
      <c r="AB34" s="160"/>
      <c r="AC34" s="160"/>
      <c r="AD34" s="160"/>
      <c r="AF34" s="160"/>
      <c r="AG34" s="160"/>
      <c r="AH34" s="160"/>
      <c r="AI34" s="160"/>
      <c r="AJ34" s="160"/>
      <c r="AK34" s="171"/>
    </row>
    <row r="35" spans="2:37" x14ac:dyDescent="0.3">
      <c r="B35" s="172"/>
      <c r="D35" s="160"/>
      <c r="E35" s="160"/>
      <c r="F35" s="160"/>
      <c r="G35" s="160"/>
      <c r="H35" s="160"/>
      <c r="K35" s="160"/>
      <c r="L35" s="160"/>
      <c r="M35" s="160"/>
      <c r="N35" s="160"/>
      <c r="O35" s="160"/>
      <c r="P35" s="160"/>
      <c r="Q35" s="160"/>
      <c r="R35" s="160"/>
      <c r="S35" s="160"/>
      <c r="T35" s="160"/>
      <c r="U35" s="160"/>
      <c r="V35" s="160"/>
      <c r="W35" s="160"/>
      <c r="X35" s="160"/>
      <c r="Y35" s="160"/>
      <c r="Z35" s="160"/>
      <c r="AA35" s="160"/>
      <c r="AB35" s="160"/>
      <c r="AC35" s="160"/>
      <c r="AD35" s="160"/>
      <c r="AF35" s="160"/>
      <c r="AG35" s="160"/>
      <c r="AH35" s="160"/>
      <c r="AI35" s="160"/>
      <c r="AJ35" s="160"/>
      <c r="AK35" s="171"/>
    </row>
    <row r="36" spans="2:37" x14ac:dyDescent="0.3">
      <c r="B36" s="172"/>
      <c r="D36" s="160"/>
      <c r="E36" s="160"/>
      <c r="F36" s="160"/>
      <c r="G36" s="160"/>
      <c r="H36" s="160"/>
      <c r="K36" s="160"/>
      <c r="L36" s="160"/>
      <c r="M36" s="160"/>
      <c r="N36" s="160"/>
      <c r="O36" s="160"/>
      <c r="P36" s="160"/>
      <c r="Q36" s="160"/>
      <c r="R36" s="160"/>
      <c r="S36" s="160"/>
      <c r="T36" s="160"/>
      <c r="U36" s="160"/>
      <c r="V36" s="160"/>
      <c r="W36" s="160"/>
      <c r="X36" s="160"/>
      <c r="Y36" s="160"/>
      <c r="Z36" s="160"/>
      <c r="AA36" s="160"/>
      <c r="AB36" s="160"/>
      <c r="AC36" s="160"/>
      <c r="AD36" s="160"/>
      <c r="AF36" s="160"/>
      <c r="AG36" s="160"/>
      <c r="AH36" s="160"/>
      <c r="AI36" s="160"/>
      <c r="AJ36" s="160"/>
      <c r="AK36" s="171"/>
    </row>
    <row r="41" spans="2:37" x14ac:dyDescent="0.3">
      <c r="C41" s="160"/>
    </row>
    <row r="42" spans="2:37" x14ac:dyDescent="0.3">
      <c r="C42" s="160"/>
    </row>
    <row r="61" spans="3:3" x14ac:dyDescent="0.3">
      <c r="C61" s="16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Involv. researchers</vt:lpstr>
      <vt:lpstr>Supp Random_DONE</vt:lpstr>
      <vt:lpstr>CONSORT data</vt:lpstr>
      <vt:lpstr>Adherence to suppl._DONE</vt:lpstr>
      <vt:lpstr>Whole body DXA_DONE</vt:lpstr>
      <vt:lpstr>Demographics_DONE</vt:lpstr>
      <vt:lpstr>Segmental DXA data_DONE</vt:lpstr>
      <vt:lpstr>mid-thigh USound_DONE</vt:lpstr>
      <vt:lpstr>Training volume_DONE</vt:lpstr>
      <vt:lpstr>Strength tests_DONE</vt:lpstr>
      <vt:lpstr>Muscle nitrate_nitrite</vt:lpstr>
      <vt:lpstr>Samples for histology</vt:lpstr>
      <vt:lpstr>Tidied Western blot data</vt:lpstr>
      <vt:lpstr>BCA &amp; lysate WB preps</vt:lpstr>
      <vt:lpstr>Tided fCSA data</vt:lpstr>
      <vt:lpstr>Tidied capillary data</vt:lpstr>
      <vt:lpstr>Heart rate and BP data</vt:lpstr>
      <vt:lpstr>Tided FMD data</vt:lpstr>
      <vt:lpstr>Raw FMD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Roberts</dc:creator>
  <cp:lastModifiedBy>Michael Roberts</cp:lastModifiedBy>
  <dcterms:created xsi:type="dcterms:W3CDTF">2024-08-23T13:55:51Z</dcterms:created>
  <dcterms:modified xsi:type="dcterms:W3CDTF">2026-09-03T13:40:26Z</dcterms:modified>
</cp:coreProperties>
</file>