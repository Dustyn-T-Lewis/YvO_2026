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anut Protein Dissertation\Participant Data\"/>
    </mc:Choice>
  </mc:AlternateContent>
  <xr:revisionPtr revIDLastSave="0" documentId="13_ncr:1_{CC185809-5C66-4CAF-B43A-2F1DE2F733AA}" xr6:coauthVersionLast="45" xr6:coauthVersionMax="45" xr10:uidLastSave="{00000000-0000-0000-0000-000000000000}"/>
  <bookViews>
    <workbookView xWindow="-28920" yWindow="-120" windowWidth="29040" windowHeight="15840" xr2:uid="{00000000-000D-0000-FFFF-FFFF00000000}"/>
  </bookViews>
  <sheets>
    <sheet name="PPS001" sheetId="1" r:id="rId1"/>
    <sheet name="PPS002" sheetId="2" r:id="rId2"/>
    <sheet name="PPS003" sheetId="3" r:id="rId3"/>
    <sheet name="PPS004" sheetId="4" r:id="rId4"/>
    <sheet name="PPS005" sheetId="5" r:id="rId5"/>
    <sheet name="PPS006" sheetId="6" r:id="rId6"/>
    <sheet name="PPS007" sheetId="7" r:id="rId7"/>
    <sheet name="PPS008" sheetId="8" r:id="rId8"/>
    <sheet name="PPS009" sheetId="9" r:id="rId9"/>
    <sheet name="PPS010" sheetId="10" r:id="rId10"/>
    <sheet name="PPS011" sheetId="11" r:id="rId11"/>
    <sheet name="PPS012" sheetId="12" r:id="rId12"/>
    <sheet name="PPS013" sheetId="13" r:id="rId13"/>
    <sheet name="PPS014" sheetId="14" r:id="rId14"/>
    <sheet name="PPS015" sheetId="15" r:id="rId15"/>
    <sheet name="PPS016" sheetId="16" r:id="rId16"/>
    <sheet name="PPS017" sheetId="17" r:id="rId17"/>
    <sheet name="PPS018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7" i="18" l="1"/>
  <c r="G27" i="18"/>
  <c r="F27" i="18"/>
  <c r="H26" i="18"/>
  <c r="G26" i="18"/>
  <c r="F26" i="18"/>
  <c r="H25" i="18"/>
  <c r="G25" i="18"/>
  <c r="F25" i="18"/>
  <c r="H24" i="18"/>
  <c r="G24" i="18"/>
  <c r="F24" i="18"/>
  <c r="F21" i="18"/>
  <c r="F20" i="18"/>
  <c r="F18" i="18"/>
  <c r="F17" i="18"/>
  <c r="F16" i="18"/>
  <c r="H14" i="18"/>
  <c r="G14" i="18"/>
  <c r="F14" i="18"/>
  <c r="H13" i="18"/>
  <c r="G13" i="18"/>
  <c r="F13" i="18"/>
  <c r="H12" i="18"/>
  <c r="G12" i="18"/>
  <c r="F12" i="18"/>
  <c r="H3" i="18"/>
  <c r="G3" i="18"/>
  <c r="F3" i="18"/>
  <c r="H27" i="17"/>
  <c r="G27" i="17"/>
  <c r="F27" i="17"/>
  <c r="H26" i="17"/>
  <c r="G26" i="17"/>
  <c r="F26" i="17"/>
  <c r="H25" i="17"/>
  <c r="G25" i="17"/>
  <c r="F25" i="17"/>
  <c r="H24" i="17"/>
  <c r="G24" i="17"/>
  <c r="F24" i="17"/>
  <c r="F21" i="17"/>
  <c r="F20" i="17"/>
  <c r="F18" i="17"/>
  <c r="F17" i="17"/>
  <c r="F16" i="17"/>
  <c r="H14" i="17"/>
  <c r="G14" i="17"/>
  <c r="F14" i="17"/>
  <c r="H13" i="17"/>
  <c r="G13" i="17"/>
  <c r="F13" i="17"/>
  <c r="H12" i="17"/>
  <c r="G12" i="17"/>
  <c r="F12" i="17"/>
  <c r="H3" i="17"/>
  <c r="G3" i="17"/>
  <c r="F3" i="17"/>
  <c r="H27" i="16"/>
  <c r="G27" i="16"/>
  <c r="F27" i="16"/>
  <c r="H26" i="16"/>
  <c r="G26" i="16"/>
  <c r="F26" i="16"/>
  <c r="H25" i="16"/>
  <c r="G25" i="16"/>
  <c r="F25" i="16"/>
  <c r="H24" i="16"/>
  <c r="G24" i="16"/>
  <c r="F24" i="16"/>
  <c r="F21" i="16"/>
  <c r="F20" i="16"/>
  <c r="F18" i="16"/>
  <c r="F17" i="16"/>
  <c r="F16" i="16"/>
  <c r="H14" i="16"/>
  <c r="G14" i="16"/>
  <c r="F14" i="16"/>
  <c r="H13" i="16"/>
  <c r="G13" i="16"/>
  <c r="F13" i="16"/>
  <c r="H12" i="16"/>
  <c r="G12" i="16"/>
  <c r="F12" i="16"/>
  <c r="H3" i="16"/>
  <c r="G3" i="16"/>
  <c r="F3" i="16"/>
  <c r="H27" i="15"/>
  <c r="G27" i="15"/>
  <c r="F27" i="15"/>
  <c r="H26" i="15"/>
  <c r="G26" i="15"/>
  <c r="F26" i="15"/>
  <c r="H25" i="15"/>
  <c r="G25" i="15"/>
  <c r="F25" i="15"/>
  <c r="H24" i="15"/>
  <c r="G24" i="15"/>
  <c r="F24" i="15"/>
  <c r="F21" i="15"/>
  <c r="F20" i="15"/>
  <c r="F18" i="15"/>
  <c r="F17" i="15"/>
  <c r="F16" i="15"/>
  <c r="H14" i="15"/>
  <c r="G14" i="15"/>
  <c r="F14" i="15"/>
  <c r="H13" i="15"/>
  <c r="G13" i="15"/>
  <c r="F13" i="15"/>
  <c r="H12" i="15"/>
  <c r="G12" i="15"/>
  <c r="F12" i="15"/>
  <c r="H3" i="15"/>
  <c r="G3" i="15"/>
  <c r="F3" i="15"/>
  <c r="H27" i="14"/>
  <c r="G27" i="14"/>
  <c r="F27" i="14"/>
  <c r="H26" i="14"/>
  <c r="G26" i="14"/>
  <c r="F26" i="14"/>
  <c r="H25" i="14"/>
  <c r="G25" i="14"/>
  <c r="F25" i="14"/>
  <c r="H24" i="14"/>
  <c r="G24" i="14"/>
  <c r="F24" i="14"/>
  <c r="F21" i="14"/>
  <c r="F20" i="14"/>
  <c r="F18" i="14"/>
  <c r="F17" i="14"/>
  <c r="F16" i="14"/>
  <c r="H14" i="14"/>
  <c r="G14" i="14"/>
  <c r="F14" i="14"/>
  <c r="H13" i="14"/>
  <c r="G13" i="14"/>
  <c r="F13" i="14"/>
  <c r="H12" i="14"/>
  <c r="G12" i="14"/>
  <c r="F12" i="14"/>
  <c r="H3" i="14"/>
  <c r="G3" i="14"/>
  <c r="F3" i="14"/>
  <c r="H27" i="13"/>
  <c r="G27" i="13"/>
  <c r="F27" i="13"/>
  <c r="H26" i="13"/>
  <c r="G26" i="13"/>
  <c r="F26" i="13"/>
  <c r="H25" i="13"/>
  <c r="G25" i="13"/>
  <c r="F25" i="13"/>
  <c r="H24" i="13"/>
  <c r="G24" i="13"/>
  <c r="F24" i="13"/>
  <c r="F21" i="13"/>
  <c r="F20" i="13"/>
  <c r="F18" i="13"/>
  <c r="F17" i="13"/>
  <c r="F16" i="13"/>
  <c r="H14" i="13"/>
  <c r="G14" i="13"/>
  <c r="F14" i="13"/>
  <c r="H13" i="13"/>
  <c r="G13" i="13"/>
  <c r="F13" i="13"/>
  <c r="H12" i="13"/>
  <c r="G12" i="13"/>
  <c r="F12" i="13"/>
  <c r="H3" i="13"/>
  <c r="G3" i="13"/>
  <c r="F3" i="13"/>
  <c r="H27" i="12"/>
  <c r="G27" i="12"/>
  <c r="F27" i="12"/>
  <c r="H26" i="12"/>
  <c r="G26" i="12"/>
  <c r="F26" i="12"/>
  <c r="H25" i="12"/>
  <c r="G25" i="12"/>
  <c r="F25" i="12"/>
  <c r="H24" i="12"/>
  <c r="G24" i="12"/>
  <c r="F24" i="12"/>
  <c r="F21" i="12"/>
  <c r="F20" i="12"/>
  <c r="F18" i="12"/>
  <c r="F17" i="12"/>
  <c r="F16" i="12"/>
  <c r="H14" i="12"/>
  <c r="G14" i="12"/>
  <c r="F14" i="12"/>
  <c r="H13" i="12"/>
  <c r="G13" i="12"/>
  <c r="F13" i="12"/>
  <c r="H12" i="12"/>
  <c r="G12" i="12"/>
  <c r="F12" i="12"/>
  <c r="H3" i="12"/>
  <c r="G3" i="12"/>
  <c r="F3" i="12"/>
  <c r="H27" i="10"/>
  <c r="G27" i="10"/>
  <c r="F27" i="10"/>
  <c r="H26" i="10"/>
  <c r="G26" i="10"/>
  <c r="F26" i="10"/>
  <c r="H25" i="10"/>
  <c r="G25" i="10"/>
  <c r="F25" i="10"/>
  <c r="H24" i="10"/>
  <c r="G24" i="10"/>
  <c r="F24" i="10"/>
  <c r="F21" i="10"/>
  <c r="F20" i="10"/>
  <c r="F18" i="10"/>
  <c r="F17" i="10"/>
  <c r="F16" i="10"/>
  <c r="H14" i="10"/>
  <c r="G14" i="10"/>
  <c r="F14" i="10"/>
  <c r="H13" i="10"/>
  <c r="G13" i="10"/>
  <c r="F13" i="10"/>
  <c r="H12" i="10"/>
  <c r="G12" i="10"/>
  <c r="F12" i="10"/>
  <c r="H3" i="10"/>
  <c r="G3" i="10"/>
  <c r="F3" i="10"/>
  <c r="H27" i="9"/>
  <c r="G27" i="9"/>
  <c r="F27" i="9"/>
  <c r="H26" i="9"/>
  <c r="G26" i="9"/>
  <c r="F26" i="9"/>
  <c r="H25" i="9"/>
  <c r="G25" i="9"/>
  <c r="F25" i="9"/>
  <c r="H24" i="9"/>
  <c r="G24" i="9"/>
  <c r="F24" i="9"/>
  <c r="F21" i="9"/>
  <c r="F20" i="9"/>
  <c r="F18" i="9"/>
  <c r="F17" i="9"/>
  <c r="F16" i="9"/>
  <c r="H14" i="9"/>
  <c r="G14" i="9"/>
  <c r="F14" i="9"/>
  <c r="H13" i="9"/>
  <c r="G13" i="9"/>
  <c r="F13" i="9"/>
  <c r="H12" i="9"/>
  <c r="G12" i="9"/>
  <c r="F12" i="9"/>
  <c r="H3" i="9"/>
  <c r="G3" i="9"/>
  <c r="F3" i="9"/>
  <c r="H27" i="8"/>
  <c r="G27" i="8"/>
  <c r="F27" i="8"/>
  <c r="H26" i="8"/>
  <c r="G26" i="8"/>
  <c r="F26" i="8"/>
  <c r="H25" i="8"/>
  <c r="G25" i="8"/>
  <c r="F25" i="8"/>
  <c r="H24" i="8"/>
  <c r="G24" i="8"/>
  <c r="F24" i="8"/>
  <c r="F21" i="8"/>
  <c r="F20" i="8"/>
  <c r="F18" i="8"/>
  <c r="F17" i="8"/>
  <c r="F16" i="8"/>
  <c r="H14" i="8"/>
  <c r="G14" i="8"/>
  <c r="F14" i="8"/>
  <c r="H13" i="8"/>
  <c r="G13" i="8"/>
  <c r="F13" i="8"/>
  <c r="H12" i="8"/>
  <c r="G12" i="8"/>
  <c r="F12" i="8"/>
  <c r="H3" i="8"/>
  <c r="G3" i="8"/>
  <c r="F3" i="8"/>
  <c r="H27" i="7"/>
  <c r="G27" i="7"/>
  <c r="F27" i="7"/>
  <c r="H26" i="7"/>
  <c r="G26" i="7"/>
  <c r="F26" i="7"/>
  <c r="H25" i="7"/>
  <c r="G25" i="7"/>
  <c r="F25" i="7"/>
  <c r="H24" i="7"/>
  <c r="G24" i="7"/>
  <c r="F24" i="7"/>
  <c r="F21" i="7"/>
  <c r="F20" i="7"/>
  <c r="F18" i="7"/>
  <c r="F17" i="7"/>
  <c r="F16" i="7"/>
  <c r="H14" i="7"/>
  <c r="G14" i="7"/>
  <c r="F14" i="7"/>
  <c r="H13" i="7"/>
  <c r="G13" i="7"/>
  <c r="F13" i="7"/>
  <c r="H12" i="7"/>
  <c r="G12" i="7"/>
  <c r="F12" i="7"/>
  <c r="H3" i="7"/>
  <c r="G3" i="7"/>
  <c r="F3" i="7"/>
  <c r="H27" i="6"/>
  <c r="G27" i="6"/>
  <c r="F27" i="6"/>
  <c r="H26" i="6"/>
  <c r="G26" i="6"/>
  <c r="F26" i="6"/>
  <c r="H25" i="6"/>
  <c r="G25" i="6"/>
  <c r="F25" i="6"/>
  <c r="H24" i="6"/>
  <c r="G24" i="6"/>
  <c r="F24" i="6"/>
  <c r="F21" i="6"/>
  <c r="F20" i="6"/>
  <c r="F18" i="6"/>
  <c r="F17" i="6"/>
  <c r="F16" i="6"/>
  <c r="H14" i="6"/>
  <c r="G14" i="6"/>
  <c r="F14" i="6"/>
  <c r="H13" i="6"/>
  <c r="G13" i="6"/>
  <c r="F13" i="6"/>
  <c r="H12" i="6"/>
  <c r="G12" i="6"/>
  <c r="F12" i="6"/>
  <c r="H3" i="6"/>
  <c r="G3" i="6"/>
  <c r="F3" i="6"/>
  <c r="H27" i="5"/>
  <c r="G27" i="5"/>
  <c r="F27" i="5"/>
  <c r="H26" i="5"/>
  <c r="G26" i="5"/>
  <c r="F26" i="5"/>
  <c r="H25" i="5"/>
  <c r="G25" i="5"/>
  <c r="F25" i="5"/>
  <c r="H24" i="5"/>
  <c r="G24" i="5"/>
  <c r="F24" i="5"/>
  <c r="F21" i="5"/>
  <c r="F20" i="5"/>
  <c r="F18" i="5"/>
  <c r="F17" i="5"/>
  <c r="F16" i="5"/>
  <c r="H14" i="5"/>
  <c r="G14" i="5"/>
  <c r="F14" i="5"/>
  <c r="H13" i="5"/>
  <c r="G13" i="5"/>
  <c r="F13" i="5"/>
  <c r="H12" i="5"/>
  <c r="G12" i="5"/>
  <c r="F12" i="5"/>
  <c r="H3" i="5"/>
  <c r="G3" i="5"/>
  <c r="F3" i="5"/>
  <c r="H27" i="4"/>
  <c r="G27" i="4"/>
  <c r="F27" i="4"/>
  <c r="H26" i="4"/>
  <c r="G26" i="4"/>
  <c r="F26" i="4"/>
  <c r="H25" i="4"/>
  <c r="G25" i="4"/>
  <c r="F25" i="4"/>
  <c r="H24" i="4"/>
  <c r="G24" i="4"/>
  <c r="F24" i="4"/>
  <c r="F21" i="4"/>
  <c r="F20" i="4"/>
  <c r="F18" i="4"/>
  <c r="F17" i="4"/>
  <c r="F16" i="4"/>
  <c r="H14" i="4"/>
  <c r="G14" i="4"/>
  <c r="F14" i="4"/>
  <c r="H13" i="4"/>
  <c r="G13" i="4"/>
  <c r="F13" i="4"/>
  <c r="H12" i="4"/>
  <c r="G12" i="4"/>
  <c r="F12" i="4"/>
  <c r="H3" i="4"/>
  <c r="G3" i="4"/>
  <c r="F3" i="4"/>
  <c r="H27" i="3"/>
  <c r="G27" i="3"/>
  <c r="F27" i="3"/>
  <c r="H26" i="3"/>
  <c r="G26" i="3"/>
  <c r="F26" i="3"/>
  <c r="H25" i="3"/>
  <c r="G25" i="3"/>
  <c r="F25" i="3"/>
  <c r="H24" i="3"/>
  <c r="G24" i="3"/>
  <c r="F24" i="3"/>
  <c r="F21" i="3"/>
  <c r="F20" i="3"/>
  <c r="H14" i="3"/>
  <c r="G14" i="3"/>
  <c r="F14" i="3"/>
  <c r="H13" i="3"/>
  <c r="G13" i="3"/>
  <c r="F13" i="3"/>
  <c r="H12" i="3"/>
  <c r="G12" i="3"/>
  <c r="F12" i="3"/>
  <c r="H3" i="3"/>
  <c r="G3" i="3"/>
  <c r="F3" i="3"/>
  <c r="H27" i="2"/>
  <c r="G27" i="2"/>
  <c r="F27" i="2"/>
  <c r="H26" i="2"/>
  <c r="G26" i="2"/>
  <c r="F26" i="2"/>
  <c r="H25" i="2"/>
  <c r="G25" i="2"/>
  <c r="F25" i="2"/>
  <c r="H24" i="2"/>
  <c r="G24" i="2"/>
  <c r="F24" i="2"/>
  <c r="F21" i="2"/>
  <c r="F20" i="2"/>
  <c r="F18" i="2"/>
  <c r="F17" i="2"/>
  <c r="F16" i="2"/>
  <c r="H14" i="2"/>
  <c r="G14" i="2"/>
  <c r="F14" i="2"/>
  <c r="H13" i="2"/>
  <c r="G13" i="2"/>
  <c r="F13" i="2"/>
  <c r="H12" i="2"/>
  <c r="G12" i="2"/>
  <c r="F12" i="2"/>
  <c r="H3" i="2"/>
  <c r="G3" i="2"/>
  <c r="F3" i="2"/>
  <c r="H27" i="1"/>
  <c r="G27" i="1"/>
  <c r="F27" i="1"/>
  <c r="H26" i="1"/>
  <c r="G26" i="1"/>
  <c r="F26" i="1"/>
  <c r="H25" i="1"/>
  <c r="G25" i="1"/>
  <c r="F25" i="1"/>
  <c r="H24" i="1"/>
  <c r="G24" i="1"/>
  <c r="F24" i="1"/>
  <c r="F21" i="1"/>
  <c r="F20" i="1"/>
  <c r="F18" i="1"/>
  <c r="F17" i="1"/>
  <c r="F16" i="1"/>
  <c r="H14" i="1"/>
  <c r="G14" i="1"/>
  <c r="F14" i="1"/>
  <c r="H13" i="1"/>
  <c r="G13" i="1"/>
  <c r="F13" i="1"/>
  <c r="H12" i="1"/>
  <c r="G12" i="1"/>
  <c r="F12" i="1"/>
  <c r="H3" i="1"/>
  <c r="G3" i="1"/>
  <c r="F3" i="1"/>
  <c r="H27" i="11"/>
  <c r="H26" i="11"/>
  <c r="H25" i="11"/>
  <c r="H24" i="11"/>
  <c r="H14" i="11"/>
  <c r="H13" i="11"/>
  <c r="H12" i="11"/>
  <c r="H3" i="11"/>
  <c r="F27" i="11"/>
  <c r="F26" i="11"/>
  <c r="F25" i="11"/>
  <c r="F24" i="11"/>
  <c r="F21" i="11"/>
  <c r="F20" i="11"/>
  <c r="F18" i="11"/>
  <c r="F17" i="11"/>
  <c r="F16" i="11"/>
  <c r="F14" i="11"/>
  <c r="F13" i="11"/>
  <c r="F12" i="11"/>
  <c r="F3" i="11"/>
  <c r="G24" i="11"/>
  <c r="G27" i="11"/>
  <c r="G26" i="11"/>
  <c r="G25" i="11"/>
  <c r="G14" i="11"/>
  <c r="G13" i="11"/>
  <c r="G12" i="11"/>
  <c r="G3" i="11"/>
</calcChain>
</file>

<file path=xl/sharedStrings.xml><?xml version="1.0" encoding="utf-8"?>
<sst xmlns="http://schemas.openxmlformats.org/spreadsheetml/2006/main" count="922" uniqueCount="57">
  <si>
    <t>Urine Hydration</t>
  </si>
  <si>
    <t>BIS</t>
  </si>
  <si>
    <t>DXA</t>
  </si>
  <si>
    <t>Ultrasound</t>
  </si>
  <si>
    <t>Penn angle</t>
  </si>
  <si>
    <t>Biodex</t>
  </si>
  <si>
    <t>Group?</t>
  </si>
  <si>
    <t>Food Log?</t>
  </si>
  <si>
    <t>Stool Kit?</t>
  </si>
  <si>
    <t>D20?</t>
  </si>
  <si>
    <t>Saliva?</t>
  </si>
  <si>
    <t>Biopsy 1?</t>
  </si>
  <si>
    <t>Biopsy 2?</t>
  </si>
  <si>
    <t>Blood?</t>
  </si>
  <si>
    <t>Total Body Water (L)</t>
  </si>
  <si>
    <t>ICW (L)</t>
  </si>
  <si>
    <t>ECW (L)</t>
  </si>
  <si>
    <t>Fat Mass (kg)</t>
  </si>
  <si>
    <t>Fat-Free Mass (kg)</t>
  </si>
  <si>
    <t>Height (cm)</t>
  </si>
  <si>
    <t>Weight (kg)</t>
  </si>
  <si>
    <t>Lean Mass (kg)</t>
  </si>
  <si>
    <t>VL Thickness (cm)</t>
  </si>
  <si>
    <r>
      <t>Max ext torque 60</t>
    </r>
    <r>
      <rPr>
        <sz val="11"/>
        <color theme="1"/>
        <rFont val="Calibri"/>
        <family val="2"/>
      </rPr>
      <t>°/sec</t>
    </r>
    <r>
      <rPr>
        <sz val="11"/>
        <color theme="1"/>
        <rFont val="Calibri"/>
        <family val="2"/>
        <scheme val="minor"/>
      </rPr>
      <t xml:space="preserve"> (N*m)</t>
    </r>
  </si>
  <si>
    <r>
      <t>Max flex torque 60</t>
    </r>
    <r>
      <rPr>
        <sz val="11"/>
        <color theme="1"/>
        <rFont val="Calibri"/>
        <family val="2"/>
      </rPr>
      <t>°/sec</t>
    </r>
    <r>
      <rPr>
        <sz val="11"/>
        <color theme="1"/>
        <rFont val="Calibri"/>
        <family val="2"/>
        <scheme val="minor"/>
      </rPr>
      <t xml:space="preserve"> (N*m)</t>
    </r>
  </si>
  <si>
    <r>
      <t>Max ext torque 120</t>
    </r>
    <r>
      <rPr>
        <sz val="11"/>
        <color theme="1"/>
        <rFont val="Calibri"/>
        <family val="2"/>
      </rPr>
      <t>°/sec</t>
    </r>
    <r>
      <rPr>
        <sz val="11"/>
        <color theme="1"/>
        <rFont val="Calibri"/>
        <family val="2"/>
        <scheme val="minor"/>
      </rPr>
      <t xml:space="preserve"> (N*m)</t>
    </r>
  </si>
  <si>
    <r>
      <t>Max flex torque 120</t>
    </r>
    <r>
      <rPr>
        <sz val="11"/>
        <color theme="1"/>
        <rFont val="Calibri"/>
        <family val="2"/>
      </rPr>
      <t>°/sec</t>
    </r>
    <r>
      <rPr>
        <sz val="11"/>
        <color theme="1"/>
        <rFont val="Calibri"/>
        <family val="2"/>
        <scheme val="minor"/>
      </rPr>
      <t xml:space="preserve"> (N*m)</t>
    </r>
  </si>
  <si>
    <t>% Body Fat</t>
  </si>
  <si>
    <t>PP</t>
  </si>
  <si>
    <t>Y</t>
  </si>
  <si>
    <t>N</t>
  </si>
  <si>
    <t>N/A</t>
  </si>
  <si>
    <t>C</t>
  </si>
  <si>
    <t>% BF</t>
  </si>
  <si>
    <t>y</t>
  </si>
  <si>
    <t>c</t>
  </si>
  <si>
    <t>% bf</t>
  </si>
  <si>
    <t>%bf</t>
  </si>
  <si>
    <t>%BF</t>
  </si>
  <si>
    <t>P</t>
  </si>
  <si>
    <t>V2</t>
  </si>
  <si>
    <t>V14</t>
  </si>
  <si>
    <t>ΔV14-V2</t>
  </si>
  <si>
    <t>ΔV26-V2</t>
  </si>
  <si>
    <t>ΔV26-V14</t>
  </si>
  <si>
    <t>V26</t>
  </si>
  <si>
    <t>Biopsy 3?</t>
  </si>
  <si>
    <t>Food Log 1?</t>
  </si>
  <si>
    <t>Food Log 2?</t>
  </si>
  <si>
    <t>Stool Kit 1?</t>
  </si>
  <si>
    <t>Stool Kit 2?</t>
  </si>
  <si>
    <t>Blood 2?</t>
  </si>
  <si>
    <t>Blood 1?</t>
  </si>
  <si>
    <t>Max ext torque 60°/sec (N*m)</t>
  </si>
  <si>
    <t>Max flex torque 60°/sec (N*m)</t>
  </si>
  <si>
    <t>Max ext torque 120°/sec (N*m)</t>
  </si>
  <si>
    <t>Max flex torque 120°/sec (N*m)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</si>
</sst>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10" fontId="0" fillId="0" borderId="0" xfId="0" applyNumberForma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2" borderId="0" xfId="1"/>
    <xf numFmtId="0" fontId="6" fillId="2" borderId="0" xfId="1" applyAlignment="1">
      <alignment horizontal="center"/>
    </xf>
    <xf numFmtId="0" fontId="6" fillId="2" borderId="0" xfId="1" applyAlignment="1">
      <alignment horizontal="right"/>
    </xf>
    <xf numFmtId="0" fontId="6" fillId="2" borderId="0" xfId="1" applyNumberFormat="1"/>
    <xf numFmtId="0" fontId="6" fillId="2" borderId="0" xfId="1" applyAlignment="1">
      <alignment horizontal="left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L18" sqref="L18"/>
    </sheetView>
  </sheetViews>
  <sheetFormatPr defaultRowHeight="15" x14ac:dyDescent="0.25"/>
  <cols>
    <col min="1" max="1" width="29.42578125" customWidth="1"/>
    <col min="2" max="2" width="18.42578125" customWidth="1"/>
    <col min="6" max="6" width="11.5703125" customWidth="1"/>
    <col min="7" max="7" width="11.85546875" customWidth="1"/>
    <col min="8" max="8" width="12.7109375" customWidth="1"/>
  </cols>
  <sheetData>
    <row r="1" spans="1:8" x14ac:dyDescent="0.25">
      <c r="B1" s="7" t="s">
        <v>40</v>
      </c>
      <c r="C1" s="7" t="s">
        <v>41</v>
      </c>
      <c r="D1" s="7" t="s">
        <v>45</v>
      </c>
      <c r="F1" s="8" t="s">
        <v>43</v>
      </c>
      <c r="G1" s="8" t="s">
        <v>42</v>
      </c>
      <c r="H1" s="8" t="s">
        <v>44</v>
      </c>
    </row>
    <row r="2" spans="1:8" x14ac:dyDescent="0.25">
      <c r="A2" s="2" t="s">
        <v>19</v>
      </c>
      <c r="B2">
        <v>165.5</v>
      </c>
    </row>
    <row r="3" spans="1:8" x14ac:dyDescent="0.25">
      <c r="A3" s="2" t="s">
        <v>20</v>
      </c>
      <c r="B3">
        <v>87.1</v>
      </c>
      <c r="C3">
        <v>89</v>
      </c>
      <c r="D3">
        <v>88.8</v>
      </c>
      <c r="F3">
        <f>D3-B3</f>
        <v>1.7000000000000028</v>
      </c>
      <c r="G3">
        <f>C3-B3</f>
        <v>1.9000000000000057</v>
      </c>
      <c r="H3">
        <f>D3-C3</f>
        <v>-0.20000000000000284</v>
      </c>
    </row>
    <row r="4" spans="1:8" x14ac:dyDescent="0.25">
      <c r="A4" s="2"/>
    </row>
    <row r="5" spans="1:8" x14ac:dyDescent="0.25">
      <c r="A5" s="2" t="s">
        <v>0</v>
      </c>
      <c r="B5">
        <v>1.0149999999999999</v>
      </c>
      <c r="C5">
        <v>1.012</v>
      </c>
      <c r="D5">
        <v>1.014</v>
      </c>
    </row>
    <row r="6" spans="1:8" x14ac:dyDescent="0.25">
      <c r="A6" s="2"/>
    </row>
    <row r="7" spans="1:8" x14ac:dyDescent="0.25">
      <c r="A7" s="2"/>
    </row>
    <row r="8" spans="1:8" x14ac:dyDescent="0.25">
      <c r="A8" s="2" t="s">
        <v>1</v>
      </c>
    </row>
    <row r="9" spans="1:8" x14ac:dyDescent="0.25">
      <c r="A9" s="1" t="s">
        <v>14</v>
      </c>
      <c r="B9">
        <v>38.299999999999997</v>
      </c>
      <c r="C9">
        <v>39.4</v>
      </c>
      <c r="D9">
        <v>38.299999999999997</v>
      </c>
    </row>
    <row r="10" spans="1:8" x14ac:dyDescent="0.25">
      <c r="A10" s="1" t="s">
        <v>15</v>
      </c>
      <c r="B10">
        <v>21.2</v>
      </c>
      <c r="C10">
        <v>21.7</v>
      </c>
      <c r="D10">
        <v>21</v>
      </c>
    </row>
    <row r="11" spans="1:8" x14ac:dyDescent="0.25">
      <c r="A11" s="1" t="s">
        <v>16</v>
      </c>
      <c r="B11">
        <v>17.7</v>
      </c>
      <c r="C11">
        <v>17.7</v>
      </c>
      <c r="D11">
        <v>17.3</v>
      </c>
    </row>
    <row r="12" spans="1:8" x14ac:dyDescent="0.25">
      <c r="A12" s="1" t="s">
        <v>17</v>
      </c>
      <c r="B12">
        <v>34.799999999999997</v>
      </c>
      <c r="C12">
        <v>35.200000000000003</v>
      </c>
      <c r="D12">
        <v>36.5</v>
      </c>
      <c r="F12">
        <f>D12-B12</f>
        <v>1.7000000000000028</v>
      </c>
      <c r="G12">
        <f t="shared" ref="G12:H14" si="0">C12-B12</f>
        <v>0.40000000000000568</v>
      </c>
      <c r="H12">
        <f t="shared" si="0"/>
        <v>1.2999999999999972</v>
      </c>
    </row>
    <row r="13" spans="1:8" x14ac:dyDescent="0.25">
      <c r="A13" s="1" t="s">
        <v>18</v>
      </c>
      <c r="B13">
        <v>52.3</v>
      </c>
      <c r="C13">
        <v>53.8</v>
      </c>
      <c r="D13">
        <v>52.3</v>
      </c>
      <c r="F13">
        <f>D13-B13</f>
        <v>0</v>
      </c>
      <c r="G13">
        <f t="shared" si="0"/>
        <v>1.5</v>
      </c>
      <c r="H13">
        <f t="shared" si="0"/>
        <v>-1.5</v>
      </c>
    </row>
    <row r="14" spans="1:8" x14ac:dyDescent="0.25">
      <c r="A14" s="1" t="s">
        <v>27</v>
      </c>
      <c r="B14" s="5">
        <v>0.4</v>
      </c>
      <c r="C14" s="5">
        <v>0.39600000000000002</v>
      </c>
      <c r="D14" s="5">
        <v>0.41099999999999998</v>
      </c>
      <c r="E14" s="5"/>
      <c r="F14" s="5">
        <f>D14-B14</f>
        <v>1.0999999999999954E-2</v>
      </c>
      <c r="G14" s="5">
        <f t="shared" si="0"/>
        <v>-4.0000000000000036E-3</v>
      </c>
      <c r="H14" s="5">
        <f t="shared" si="0"/>
        <v>1.4999999999999958E-2</v>
      </c>
    </row>
    <row r="15" spans="1:8" x14ac:dyDescent="0.25">
      <c r="A15" s="3" t="s">
        <v>2</v>
      </c>
    </row>
    <row r="16" spans="1:8" x14ac:dyDescent="0.25">
      <c r="A16" s="1" t="s">
        <v>21</v>
      </c>
      <c r="B16">
        <v>43.7</v>
      </c>
      <c r="D16">
        <v>46.13</v>
      </c>
      <c r="F16">
        <f>D16-B16</f>
        <v>2.4299999999999997</v>
      </c>
    </row>
    <row r="17" spans="1:8" x14ac:dyDescent="0.25">
      <c r="A17" s="1" t="s">
        <v>17</v>
      </c>
      <c r="B17">
        <v>39.9</v>
      </c>
      <c r="D17">
        <v>39.299999999999997</v>
      </c>
      <c r="F17">
        <f>D17-B17</f>
        <v>-0.60000000000000142</v>
      </c>
    </row>
    <row r="18" spans="1:8" x14ac:dyDescent="0.25">
      <c r="A18" s="1" t="s">
        <v>27</v>
      </c>
      <c r="B18" s="5">
        <v>0.47699999999999998</v>
      </c>
      <c r="D18" s="5">
        <v>0.46</v>
      </c>
      <c r="F18" s="5">
        <f>D18-B18</f>
        <v>-1.699999999999996E-2</v>
      </c>
    </row>
    <row r="19" spans="1:8" x14ac:dyDescent="0.25">
      <c r="A19" s="3" t="s">
        <v>3</v>
      </c>
    </row>
    <row r="20" spans="1:8" x14ac:dyDescent="0.25">
      <c r="A20" s="4" t="s">
        <v>22</v>
      </c>
      <c r="F20">
        <f>D20-B20</f>
        <v>0</v>
      </c>
    </row>
    <row r="21" spans="1:8" x14ac:dyDescent="0.25">
      <c r="A21" s="4" t="s">
        <v>4</v>
      </c>
      <c r="F21">
        <f>D21-B21</f>
        <v>0</v>
      </c>
    </row>
    <row r="23" spans="1:8" x14ac:dyDescent="0.25">
      <c r="A23" s="2" t="s">
        <v>5</v>
      </c>
    </row>
    <row r="24" spans="1:8" x14ac:dyDescent="0.25">
      <c r="A24" s="1" t="s">
        <v>23</v>
      </c>
      <c r="B24">
        <v>77.7</v>
      </c>
      <c r="C24">
        <v>79.2</v>
      </c>
      <c r="D24">
        <v>78.7</v>
      </c>
      <c r="F24">
        <f>D24-B24</f>
        <v>1</v>
      </c>
      <c r="G24">
        <f t="shared" ref="G24:H27" si="1">C24-B24</f>
        <v>1.5</v>
      </c>
      <c r="H24">
        <f t="shared" si="1"/>
        <v>-0.5</v>
      </c>
    </row>
    <row r="25" spans="1:8" x14ac:dyDescent="0.25">
      <c r="A25" s="1" t="s">
        <v>24</v>
      </c>
      <c r="B25">
        <v>15.6</v>
      </c>
      <c r="C25">
        <v>16.899999999999999</v>
      </c>
      <c r="D25">
        <v>16.399999999999999</v>
      </c>
      <c r="F25">
        <f>D25-B25</f>
        <v>0.79999999999999893</v>
      </c>
      <c r="G25">
        <f t="shared" si="1"/>
        <v>1.2999999999999989</v>
      </c>
      <c r="H25">
        <f t="shared" si="1"/>
        <v>-0.5</v>
      </c>
    </row>
    <row r="26" spans="1:8" x14ac:dyDescent="0.25">
      <c r="A26" s="1" t="s">
        <v>25</v>
      </c>
      <c r="B26">
        <v>55.2</v>
      </c>
      <c r="C26">
        <v>59.9</v>
      </c>
      <c r="D26">
        <v>57.7</v>
      </c>
      <c r="F26">
        <f>D26-B26</f>
        <v>2.5</v>
      </c>
      <c r="G26">
        <f t="shared" si="1"/>
        <v>4.6999999999999957</v>
      </c>
      <c r="H26">
        <f t="shared" si="1"/>
        <v>-2.1999999999999957</v>
      </c>
    </row>
    <row r="27" spans="1:8" x14ac:dyDescent="0.25">
      <c r="A27" s="1" t="s">
        <v>26</v>
      </c>
      <c r="B27">
        <v>14.9</v>
      </c>
      <c r="C27">
        <v>16.600000000000001</v>
      </c>
      <c r="D27">
        <v>16.2</v>
      </c>
      <c r="F27">
        <f>D27-B27</f>
        <v>1.2999999999999989</v>
      </c>
      <c r="G27">
        <f t="shared" si="1"/>
        <v>1.7000000000000011</v>
      </c>
      <c r="H27">
        <f t="shared" si="1"/>
        <v>-0.40000000000000213</v>
      </c>
    </row>
    <row r="29" spans="1:8" x14ac:dyDescent="0.25">
      <c r="A29" s="2" t="s">
        <v>6</v>
      </c>
      <c r="B29" t="s">
        <v>28</v>
      </c>
    </row>
    <row r="30" spans="1:8" x14ac:dyDescent="0.25">
      <c r="A30" s="2" t="s">
        <v>47</v>
      </c>
      <c r="B30" t="s">
        <v>29</v>
      </c>
    </row>
    <row r="31" spans="1:8" x14ac:dyDescent="0.25">
      <c r="A31" s="2" t="s">
        <v>48</v>
      </c>
      <c r="B31" t="s">
        <v>29</v>
      </c>
    </row>
    <row r="32" spans="1:8" x14ac:dyDescent="0.25">
      <c r="A32" s="2" t="s">
        <v>49</v>
      </c>
      <c r="B32" t="s">
        <v>29</v>
      </c>
    </row>
    <row r="33" spans="1:2" x14ac:dyDescent="0.25">
      <c r="A33" s="2" t="s">
        <v>50</v>
      </c>
      <c r="B33" t="s">
        <v>29</v>
      </c>
    </row>
    <row r="34" spans="1:2" x14ac:dyDescent="0.25">
      <c r="A34" s="2" t="s">
        <v>9</v>
      </c>
      <c r="B34" t="s">
        <v>29</v>
      </c>
    </row>
    <row r="35" spans="1:2" x14ac:dyDescent="0.25">
      <c r="A35" s="2" t="s">
        <v>10</v>
      </c>
      <c r="B35" t="s">
        <v>29</v>
      </c>
    </row>
    <row r="36" spans="1:2" x14ac:dyDescent="0.25">
      <c r="A36" s="2" t="s">
        <v>11</v>
      </c>
      <c r="B36" t="s">
        <v>30</v>
      </c>
    </row>
    <row r="37" spans="1:2" x14ac:dyDescent="0.25">
      <c r="A37" s="2" t="s">
        <v>52</v>
      </c>
      <c r="B37" t="s">
        <v>29</v>
      </c>
    </row>
    <row r="38" spans="1:2" x14ac:dyDescent="0.25">
      <c r="A38" s="2" t="s">
        <v>12</v>
      </c>
      <c r="B38" t="s">
        <v>29</v>
      </c>
    </row>
    <row r="39" spans="1:2" x14ac:dyDescent="0.25">
      <c r="A39" s="2" t="s">
        <v>51</v>
      </c>
      <c r="B39" t="s">
        <v>29</v>
      </c>
    </row>
    <row r="40" spans="1:2" x14ac:dyDescent="0.25">
      <c r="A40" s="2" t="s">
        <v>46</v>
      </c>
      <c r="B40" t="s">
        <v>29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>
      <selection activeCell="D22" sqref="D22"/>
    </sheetView>
  </sheetViews>
  <sheetFormatPr defaultRowHeight="15" x14ac:dyDescent="0.25"/>
  <cols>
    <col min="1" max="1" width="29.85546875" customWidth="1"/>
    <col min="6" max="6" width="14.28515625" customWidth="1"/>
    <col min="7" max="7" width="13.85546875" customWidth="1"/>
    <col min="8" max="8" width="13.5703125" customWidth="1"/>
  </cols>
  <sheetData>
    <row r="1" spans="1:8" x14ac:dyDescent="0.25">
      <c r="B1" s="7" t="s">
        <v>40</v>
      </c>
      <c r="C1" s="7" t="s">
        <v>41</v>
      </c>
      <c r="D1" s="7" t="s">
        <v>45</v>
      </c>
      <c r="F1" s="8" t="s">
        <v>43</v>
      </c>
      <c r="G1" s="8" t="s">
        <v>42</v>
      </c>
      <c r="H1" s="8" t="s">
        <v>44</v>
      </c>
    </row>
    <row r="2" spans="1:8" x14ac:dyDescent="0.25">
      <c r="A2" s="2" t="s">
        <v>19</v>
      </c>
      <c r="B2">
        <v>168.5</v>
      </c>
    </row>
    <row r="3" spans="1:8" x14ac:dyDescent="0.25">
      <c r="A3" s="2" t="s">
        <v>20</v>
      </c>
      <c r="B3">
        <v>76.8</v>
      </c>
      <c r="C3">
        <v>76.2</v>
      </c>
      <c r="D3">
        <v>76.599999999999994</v>
      </c>
      <c r="F3">
        <f>D3-B3</f>
        <v>-0.20000000000000284</v>
      </c>
      <c r="G3">
        <f>C3-B3</f>
        <v>-0.59999999999999432</v>
      </c>
      <c r="H3">
        <f>D3-C3</f>
        <v>0.39999999999999147</v>
      </c>
    </row>
    <row r="4" spans="1:8" x14ac:dyDescent="0.25">
      <c r="A4" s="2"/>
    </row>
    <row r="5" spans="1:8" x14ac:dyDescent="0.25">
      <c r="A5" s="2" t="s">
        <v>0</v>
      </c>
      <c r="B5">
        <v>1.0109999999999999</v>
      </c>
      <c r="C5">
        <v>1.0149999999999999</v>
      </c>
      <c r="D5">
        <v>1.016</v>
      </c>
    </row>
    <row r="6" spans="1:8" x14ac:dyDescent="0.25">
      <c r="A6" s="2"/>
    </row>
    <row r="7" spans="1:8" x14ac:dyDescent="0.25">
      <c r="A7" s="2"/>
    </row>
    <row r="8" spans="1:8" x14ac:dyDescent="0.25">
      <c r="A8" s="2" t="s">
        <v>1</v>
      </c>
    </row>
    <row r="9" spans="1:8" x14ac:dyDescent="0.25">
      <c r="A9" s="1" t="s">
        <v>14</v>
      </c>
      <c r="B9">
        <v>35.799999999999997</v>
      </c>
      <c r="C9">
        <v>33.799999999999997</v>
      </c>
      <c r="D9">
        <v>35.299999999999997</v>
      </c>
    </row>
    <row r="10" spans="1:8" x14ac:dyDescent="0.25">
      <c r="A10" s="1" t="s">
        <v>15</v>
      </c>
      <c r="B10">
        <v>19.3</v>
      </c>
      <c r="C10">
        <v>17.5</v>
      </c>
      <c r="D10">
        <v>19.399999999999999</v>
      </c>
    </row>
    <row r="11" spans="1:8" x14ac:dyDescent="0.25">
      <c r="A11" s="1" t="s">
        <v>16</v>
      </c>
      <c r="B11">
        <v>16.5</v>
      </c>
      <c r="C11">
        <v>16.3</v>
      </c>
      <c r="D11">
        <v>15.9</v>
      </c>
    </row>
    <row r="12" spans="1:8" x14ac:dyDescent="0.25">
      <c r="A12" s="1" t="s">
        <v>17</v>
      </c>
      <c r="B12">
        <v>27.9</v>
      </c>
      <c r="C12">
        <v>30</v>
      </c>
      <c r="D12">
        <v>28.3</v>
      </c>
      <c r="F12">
        <f>D12-B12</f>
        <v>0.40000000000000213</v>
      </c>
      <c r="G12">
        <f t="shared" ref="G12:H14" si="0">C12-B12</f>
        <v>2.1000000000000014</v>
      </c>
      <c r="H12">
        <f t="shared" si="0"/>
        <v>-1.6999999999999993</v>
      </c>
    </row>
    <row r="13" spans="1:8" x14ac:dyDescent="0.25">
      <c r="A13" s="1" t="s">
        <v>18</v>
      </c>
      <c r="B13">
        <v>48.9</v>
      </c>
      <c r="C13">
        <v>46.2</v>
      </c>
      <c r="D13">
        <v>48.3</v>
      </c>
      <c r="F13">
        <f>D13-B13</f>
        <v>-0.60000000000000142</v>
      </c>
      <c r="G13">
        <f t="shared" si="0"/>
        <v>-2.6999999999999957</v>
      </c>
      <c r="H13">
        <f t="shared" si="0"/>
        <v>2.0999999999999943</v>
      </c>
    </row>
    <row r="14" spans="1:8" x14ac:dyDescent="0.25">
      <c r="A14" s="1" t="s">
        <v>27</v>
      </c>
      <c r="B14" s="5">
        <v>0.36299999999999999</v>
      </c>
      <c r="C14" s="5">
        <v>0.39400000000000002</v>
      </c>
      <c r="D14" s="5">
        <v>0.36899999999999999</v>
      </c>
      <c r="E14" s="5"/>
      <c r="F14" s="5">
        <f>D14-B14</f>
        <v>6.0000000000000053E-3</v>
      </c>
      <c r="G14" s="5">
        <f t="shared" si="0"/>
        <v>3.1000000000000028E-2</v>
      </c>
      <c r="H14" s="5">
        <f t="shared" si="0"/>
        <v>-2.5000000000000022E-2</v>
      </c>
    </row>
    <row r="15" spans="1:8" x14ac:dyDescent="0.25">
      <c r="A15" s="3" t="s">
        <v>2</v>
      </c>
    </row>
    <row r="16" spans="1:8" x14ac:dyDescent="0.25">
      <c r="A16" s="1" t="s">
        <v>21</v>
      </c>
      <c r="B16">
        <v>43.5</v>
      </c>
      <c r="D16">
        <v>43.32</v>
      </c>
      <c r="F16">
        <f>D16-B16</f>
        <v>-0.17999999999999972</v>
      </c>
    </row>
    <row r="17" spans="1:8" x14ac:dyDescent="0.25">
      <c r="A17" s="1" t="s">
        <v>17</v>
      </c>
      <c r="B17">
        <v>30.1</v>
      </c>
      <c r="D17">
        <v>30.9</v>
      </c>
      <c r="F17">
        <f>D17-B17</f>
        <v>0.79999999999999716</v>
      </c>
    </row>
    <row r="18" spans="1:8" x14ac:dyDescent="0.25">
      <c r="A18" s="1" t="s">
        <v>27</v>
      </c>
      <c r="B18" s="5">
        <v>0.36299999999999999</v>
      </c>
      <c r="D18" s="5">
        <v>0.41699999999999998</v>
      </c>
      <c r="F18" s="5">
        <f>D18-B18</f>
        <v>5.3999999999999992E-2</v>
      </c>
    </row>
    <row r="19" spans="1:8" x14ac:dyDescent="0.25">
      <c r="A19" s="3" t="s">
        <v>3</v>
      </c>
    </row>
    <row r="20" spans="1:8" x14ac:dyDescent="0.25">
      <c r="A20" s="4" t="s">
        <v>22</v>
      </c>
      <c r="B20">
        <v>1.0900000000000001</v>
      </c>
      <c r="D20">
        <v>1.35</v>
      </c>
      <c r="F20">
        <f>D20-B20</f>
        <v>0.26</v>
      </c>
    </row>
    <row r="21" spans="1:8" x14ac:dyDescent="0.25">
      <c r="A21" s="4" t="s">
        <v>4</v>
      </c>
      <c r="B21">
        <v>15.6</v>
      </c>
      <c r="D21">
        <v>9.4</v>
      </c>
      <c r="F21">
        <f>D21-B21</f>
        <v>-6.1999999999999993</v>
      </c>
    </row>
    <row r="23" spans="1:8" x14ac:dyDescent="0.25">
      <c r="A23" s="2" t="s">
        <v>5</v>
      </c>
    </row>
    <row r="24" spans="1:8" x14ac:dyDescent="0.25">
      <c r="A24" s="1" t="s">
        <v>23</v>
      </c>
      <c r="B24">
        <v>58.3</v>
      </c>
      <c r="C24">
        <v>104.4</v>
      </c>
      <c r="D24">
        <v>104.4</v>
      </c>
      <c r="F24">
        <f>D24-B24</f>
        <v>46.100000000000009</v>
      </c>
      <c r="G24">
        <f t="shared" ref="G24:H27" si="1">C24-B24</f>
        <v>46.100000000000009</v>
      </c>
      <c r="H24">
        <f t="shared" si="1"/>
        <v>0</v>
      </c>
    </row>
    <row r="25" spans="1:8" x14ac:dyDescent="0.25">
      <c r="A25" s="1" t="s">
        <v>24</v>
      </c>
      <c r="B25">
        <v>20.3</v>
      </c>
      <c r="C25">
        <v>43.8</v>
      </c>
      <c r="D25">
        <v>40</v>
      </c>
      <c r="F25">
        <f>D25-B25</f>
        <v>19.7</v>
      </c>
      <c r="G25">
        <f t="shared" si="1"/>
        <v>23.499999999999996</v>
      </c>
      <c r="H25">
        <f t="shared" si="1"/>
        <v>-3.7999999999999972</v>
      </c>
    </row>
    <row r="26" spans="1:8" x14ac:dyDescent="0.25">
      <c r="A26" s="1" t="s">
        <v>25</v>
      </c>
      <c r="B26">
        <v>51</v>
      </c>
      <c r="C26">
        <v>94.2</v>
      </c>
      <c r="D26">
        <v>80.400000000000006</v>
      </c>
      <c r="F26">
        <f>D26-B26</f>
        <v>29.400000000000006</v>
      </c>
      <c r="G26">
        <f t="shared" si="1"/>
        <v>43.2</v>
      </c>
      <c r="H26">
        <f t="shared" si="1"/>
        <v>-13.799999999999997</v>
      </c>
    </row>
    <row r="27" spans="1:8" x14ac:dyDescent="0.25">
      <c r="A27" s="1" t="s">
        <v>26</v>
      </c>
      <c r="B27">
        <v>16.7</v>
      </c>
      <c r="C27">
        <v>30.6</v>
      </c>
      <c r="D27">
        <v>29.9</v>
      </c>
      <c r="F27">
        <f>D27-B27</f>
        <v>13.2</v>
      </c>
      <c r="G27">
        <f t="shared" si="1"/>
        <v>13.900000000000002</v>
      </c>
      <c r="H27">
        <f t="shared" si="1"/>
        <v>-0.70000000000000284</v>
      </c>
    </row>
    <row r="29" spans="1:8" x14ac:dyDescent="0.25">
      <c r="A29" s="2" t="s">
        <v>6</v>
      </c>
      <c r="B29" t="s">
        <v>28</v>
      </c>
    </row>
    <row r="30" spans="1:8" x14ac:dyDescent="0.25">
      <c r="A30" s="2" t="s">
        <v>47</v>
      </c>
      <c r="B30" t="s">
        <v>29</v>
      </c>
    </row>
    <row r="31" spans="1:8" x14ac:dyDescent="0.25">
      <c r="A31" s="2" t="s">
        <v>48</v>
      </c>
      <c r="B31" t="s">
        <v>29</v>
      </c>
    </row>
    <row r="32" spans="1:8" x14ac:dyDescent="0.25">
      <c r="A32" s="2" t="s">
        <v>49</v>
      </c>
      <c r="B32" t="s">
        <v>29</v>
      </c>
    </row>
    <row r="33" spans="1:2" x14ac:dyDescent="0.25">
      <c r="A33" s="2" t="s">
        <v>50</v>
      </c>
      <c r="B33" t="s">
        <v>29</v>
      </c>
    </row>
    <row r="34" spans="1:2" x14ac:dyDescent="0.25">
      <c r="A34" s="2" t="s">
        <v>9</v>
      </c>
      <c r="B34" t="s">
        <v>29</v>
      </c>
    </row>
    <row r="35" spans="1:2" x14ac:dyDescent="0.25">
      <c r="A35" s="2" t="s">
        <v>10</v>
      </c>
      <c r="B35" t="s">
        <v>29</v>
      </c>
    </row>
    <row r="36" spans="1:2" x14ac:dyDescent="0.25">
      <c r="A36" s="2" t="s">
        <v>11</v>
      </c>
      <c r="B36" t="s">
        <v>29</v>
      </c>
    </row>
    <row r="37" spans="1:2" x14ac:dyDescent="0.25">
      <c r="A37" s="2" t="s">
        <v>52</v>
      </c>
      <c r="B37" t="s">
        <v>29</v>
      </c>
    </row>
    <row r="38" spans="1:2" x14ac:dyDescent="0.25">
      <c r="A38" s="2" t="s">
        <v>12</v>
      </c>
      <c r="B38" t="s">
        <v>29</v>
      </c>
    </row>
    <row r="39" spans="1:2" x14ac:dyDescent="0.25">
      <c r="A39" s="2" t="s">
        <v>51</v>
      </c>
      <c r="B39" t="s">
        <v>29</v>
      </c>
    </row>
    <row r="40" spans="1:2" x14ac:dyDescent="0.25">
      <c r="A40" s="2" t="s">
        <v>46</v>
      </c>
      <c r="B40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workbookViewId="0">
      <selection sqref="A1:H36"/>
    </sheetView>
  </sheetViews>
  <sheetFormatPr defaultRowHeight="15" x14ac:dyDescent="0.25"/>
  <cols>
    <col min="1" max="1" width="31.140625" customWidth="1"/>
    <col min="6" max="6" width="14.28515625" customWidth="1"/>
    <col min="7" max="7" width="13.7109375" customWidth="1"/>
    <col min="8" max="8" width="14.42578125" customWidth="1"/>
  </cols>
  <sheetData>
    <row r="1" spans="1:8" x14ac:dyDescent="0.25">
      <c r="A1" s="9"/>
      <c r="B1" s="10" t="s">
        <v>40</v>
      </c>
      <c r="C1" s="10" t="s">
        <v>41</v>
      </c>
      <c r="D1" s="10" t="s">
        <v>45</v>
      </c>
      <c r="E1" s="9"/>
      <c r="F1" s="9" t="s">
        <v>43</v>
      </c>
      <c r="G1" s="9" t="s">
        <v>42</v>
      </c>
      <c r="H1" s="9" t="s">
        <v>44</v>
      </c>
    </row>
    <row r="2" spans="1:8" x14ac:dyDescent="0.25">
      <c r="A2" s="9" t="s">
        <v>19</v>
      </c>
      <c r="B2" s="9">
        <v>167</v>
      </c>
      <c r="C2" s="9"/>
      <c r="D2" s="9"/>
      <c r="E2" s="9"/>
      <c r="F2" s="9"/>
      <c r="G2" s="9"/>
      <c r="H2" s="9"/>
    </row>
    <row r="3" spans="1:8" x14ac:dyDescent="0.25">
      <c r="A3" s="9" t="s">
        <v>20</v>
      </c>
      <c r="B3" s="9">
        <v>94.7</v>
      </c>
      <c r="C3" s="9">
        <v>96.7</v>
      </c>
      <c r="D3" s="9"/>
      <c r="E3" s="9"/>
      <c r="F3" s="9">
        <f>D3-B3</f>
        <v>-94.7</v>
      </c>
      <c r="G3" s="9">
        <f>C3-B3</f>
        <v>2</v>
      </c>
      <c r="H3" s="9">
        <f>D3-C3</f>
        <v>-96.7</v>
      </c>
    </row>
    <row r="4" spans="1:8" x14ac:dyDescent="0.25">
      <c r="A4" s="9"/>
      <c r="B4" s="9"/>
      <c r="C4" s="9"/>
      <c r="D4" s="9"/>
      <c r="E4" s="9"/>
      <c r="F4" s="9"/>
      <c r="G4" s="9"/>
      <c r="H4" s="9"/>
    </row>
    <row r="5" spans="1:8" x14ac:dyDescent="0.25">
      <c r="A5" s="9" t="s">
        <v>0</v>
      </c>
      <c r="B5" s="9"/>
      <c r="C5" s="9">
        <v>1.0049999999999999</v>
      </c>
      <c r="D5" s="9"/>
      <c r="E5" s="9"/>
      <c r="F5" s="9"/>
      <c r="G5" s="9"/>
      <c r="H5" s="9"/>
    </row>
    <row r="6" spans="1:8" x14ac:dyDescent="0.25">
      <c r="A6" s="9"/>
      <c r="B6" s="9"/>
      <c r="C6" s="9"/>
      <c r="D6" s="9"/>
      <c r="E6" s="9"/>
      <c r="F6" s="9"/>
      <c r="G6" s="9"/>
      <c r="H6" s="9"/>
    </row>
    <row r="7" spans="1:8" x14ac:dyDescent="0.25">
      <c r="A7" s="9"/>
      <c r="B7" s="9"/>
      <c r="C7" s="9"/>
      <c r="D7" s="9"/>
      <c r="E7" s="9"/>
      <c r="F7" s="9"/>
      <c r="G7" s="9"/>
      <c r="H7" s="9"/>
    </row>
    <row r="8" spans="1:8" x14ac:dyDescent="0.25">
      <c r="A8" s="9" t="s">
        <v>1</v>
      </c>
      <c r="B8" s="9"/>
      <c r="C8" s="9"/>
      <c r="D8" s="9"/>
      <c r="E8" s="9"/>
      <c r="F8" s="9"/>
      <c r="G8" s="9"/>
      <c r="H8" s="9"/>
    </row>
    <row r="9" spans="1:8" x14ac:dyDescent="0.25">
      <c r="A9" s="11" t="s">
        <v>14</v>
      </c>
      <c r="B9" s="9">
        <v>41.1</v>
      </c>
      <c r="C9" s="9">
        <v>40.5</v>
      </c>
      <c r="D9" s="9"/>
      <c r="E9" s="9"/>
      <c r="F9" s="9"/>
      <c r="G9" s="9"/>
      <c r="H9" s="9"/>
    </row>
    <row r="10" spans="1:8" x14ac:dyDescent="0.25">
      <c r="A10" s="11" t="s">
        <v>15</v>
      </c>
      <c r="B10" s="9">
        <v>23.7</v>
      </c>
      <c r="C10" s="9">
        <v>22.7</v>
      </c>
      <c r="D10" s="9"/>
      <c r="E10" s="9"/>
      <c r="F10" s="9"/>
      <c r="G10" s="9"/>
      <c r="H10" s="9"/>
    </row>
    <row r="11" spans="1:8" x14ac:dyDescent="0.25">
      <c r="A11" s="11" t="s">
        <v>16</v>
      </c>
      <c r="B11" s="9">
        <v>17.399999999999999</v>
      </c>
      <c r="C11" s="9">
        <v>17.8</v>
      </c>
      <c r="D11" s="9"/>
      <c r="E11" s="9"/>
      <c r="F11" s="9"/>
      <c r="G11" s="9"/>
      <c r="H11" s="9"/>
    </row>
    <row r="12" spans="1:8" x14ac:dyDescent="0.25">
      <c r="A12" s="11" t="s">
        <v>17</v>
      </c>
      <c r="B12" s="9">
        <v>38.6</v>
      </c>
      <c r="C12" s="9">
        <v>41.4</v>
      </c>
      <c r="D12" s="9"/>
      <c r="E12" s="9"/>
      <c r="F12" s="9">
        <f>D12-B12</f>
        <v>-38.6</v>
      </c>
      <c r="G12" s="9">
        <f t="shared" ref="G12:H14" si="0">C12-B12</f>
        <v>2.7999999999999972</v>
      </c>
      <c r="H12" s="9">
        <f t="shared" si="0"/>
        <v>-41.4</v>
      </c>
    </row>
    <row r="13" spans="1:8" x14ac:dyDescent="0.25">
      <c r="A13" s="11" t="s">
        <v>18</v>
      </c>
      <c r="B13" s="9">
        <v>56.1</v>
      </c>
      <c r="C13" s="9">
        <v>55.3</v>
      </c>
      <c r="D13" s="9"/>
      <c r="E13" s="9"/>
      <c r="F13" s="9">
        <f>D13-B13</f>
        <v>-56.1</v>
      </c>
      <c r="G13" s="9">
        <f t="shared" si="0"/>
        <v>-0.80000000000000426</v>
      </c>
      <c r="H13" s="9">
        <f t="shared" si="0"/>
        <v>-55.3</v>
      </c>
    </row>
    <row r="14" spans="1:8" x14ac:dyDescent="0.25">
      <c r="A14" s="11" t="s">
        <v>27</v>
      </c>
      <c r="B14" s="9">
        <v>40.799999999999997</v>
      </c>
      <c r="C14" s="12">
        <v>43.8</v>
      </c>
      <c r="D14" s="9"/>
      <c r="E14" s="9"/>
      <c r="F14" s="9">
        <f>D14-B14</f>
        <v>-40.799999999999997</v>
      </c>
      <c r="G14" s="9">
        <f t="shared" si="0"/>
        <v>3</v>
      </c>
      <c r="H14" s="9">
        <f t="shared" si="0"/>
        <v>-43.8</v>
      </c>
    </row>
    <row r="15" spans="1:8" x14ac:dyDescent="0.25">
      <c r="A15" s="13" t="s">
        <v>2</v>
      </c>
      <c r="B15" s="9"/>
      <c r="C15" s="9"/>
      <c r="D15" s="9"/>
      <c r="E15" s="9"/>
      <c r="F15" s="9"/>
      <c r="G15" s="9"/>
      <c r="H15" s="9"/>
    </row>
    <row r="16" spans="1:8" x14ac:dyDescent="0.25">
      <c r="A16" s="11" t="s">
        <v>21</v>
      </c>
      <c r="B16" s="9" t="s">
        <v>31</v>
      </c>
      <c r="C16" s="9"/>
      <c r="D16" s="9"/>
      <c r="E16" s="9"/>
      <c r="F16" s="9"/>
      <c r="G16" s="9"/>
      <c r="H16" s="9"/>
    </row>
    <row r="17" spans="1:8" x14ac:dyDescent="0.25">
      <c r="A17" s="11" t="s">
        <v>17</v>
      </c>
      <c r="B17" s="9" t="s">
        <v>31</v>
      </c>
      <c r="C17" s="9"/>
      <c r="D17" s="9"/>
      <c r="E17" s="9"/>
      <c r="F17" s="9"/>
      <c r="G17" s="9"/>
      <c r="H17" s="9"/>
    </row>
    <row r="18" spans="1:8" x14ac:dyDescent="0.25">
      <c r="A18" s="11" t="s">
        <v>27</v>
      </c>
      <c r="B18" s="9" t="s">
        <v>31</v>
      </c>
      <c r="C18" s="9"/>
      <c r="D18" s="9"/>
      <c r="E18" s="9"/>
      <c r="F18" s="9"/>
      <c r="G18" s="9"/>
      <c r="H18" s="9"/>
    </row>
    <row r="19" spans="1:8" x14ac:dyDescent="0.25">
      <c r="A19" s="13" t="s">
        <v>3</v>
      </c>
      <c r="B19" s="9"/>
      <c r="C19" s="9"/>
      <c r="D19" s="9"/>
      <c r="E19" s="9"/>
      <c r="F19" s="9"/>
      <c r="G19" s="9"/>
      <c r="H19" s="9"/>
    </row>
    <row r="20" spans="1:8" x14ac:dyDescent="0.25">
      <c r="A20" s="11" t="s">
        <v>22</v>
      </c>
      <c r="B20" s="9">
        <v>2.19</v>
      </c>
      <c r="C20" s="9"/>
      <c r="D20" s="9"/>
      <c r="E20" s="9"/>
      <c r="F20" s="9">
        <f>D20-B20</f>
        <v>-2.19</v>
      </c>
      <c r="G20" s="9"/>
      <c r="H20" s="9"/>
    </row>
    <row r="21" spans="1:8" x14ac:dyDescent="0.25">
      <c r="A21" s="11" t="s">
        <v>4</v>
      </c>
      <c r="B21" s="9">
        <v>14.3</v>
      </c>
      <c r="C21" s="9"/>
      <c r="D21" s="9"/>
      <c r="E21" s="9"/>
      <c r="F21" s="9">
        <f>D21-B21</f>
        <v>-14.3</v>
      </c>
      <c r="G21" s="9"/>
      <c r="H21" s="9"/>
    </row>
    <row r="22" spans="1:8" x14ac:dyDescent="0.25">
      <c r="A22" s="9"/>
      <c r="B22" s="9"/>
      <c r="C22" s="9"/>
      <c r="D22" s="9"/>
      <c r="E22" s="9"/>
      <c r="F22" s="9"/>
      <c r="G22" s="9"/>
      <c r="H22" s="9"/>
    </row>
    <row r="23" spans="1:8" x14ac:dyDescent="0.25">
      <c r="A23" s="9" t="s">
        <v>5</v>
      </c>
      <c r="B23" s="9"/>
      <c r="C23" s="9"/>
      <c r="D23" s="9"/>
      <c r="E23" s="9"/>
      <c r="F23" s="9"/>
      <c r="G23" s="9"/>
      <c r="H23" s="9"/>
    </row>
    <row r="24" spans="1:8" x14ac:dyDescent="0.25">
      <c r="A24" s="11" t="s">
        <v>53</v>
      </c>
      <c r="B24" s="9">
        <v>168.1</v>
      </c>
      <c r="C24" s="9">
        <v>159.30000000000001</v>
      </c>
      <c r="D24" s="9"/>
      <c r="E24" s="9"/>
      <c r="F24" s="9">
        <f>D24-B24</f>
        <v>-168.1</v>
      </c>
      <c r="G24" s="9">
        <f t="shared" ref="G24:H27" si="1">C24-B24</f>
        <v>-8.7999999999999829</v>
      </c>
      <c r="H24" s="9">
        <f t="shared" si="1"/>
        <v>-159.30000000000001</v>
      </c>
    </row>
    <row r="25" spans="1:8" x14ac:dyDescent="0.25">
      <c r="A25" s="11" t="s">
        <v>54</v>
      </c>
      <c r="B25" s="9">
        <v>76.099999999999994</v>
      </c>
      <c r="C25" s="9">
        <v>81.7</v>
      </c>
      <c r="D25" s="9"/>
      <c r="E25" s="9"/>
      <c r="F25" s="9">
        <f>D25-B25</f>
        <v>-76.099999999999994</v>
      </c>
      <c r="G25" s="9">
        <f t="shared" si="1"/>
        <v>5.6000000000000085</v>
      </c>
      <c r="H25" s="9">
        <f t="shared" si="1"/>
        <v>-81.7</v>
      </c>
    </row>
    <row r="26" spans="1:8" x14ac:dyDescent="0.25">
      <c r="A26" s="11" t="s">
        <v>55</v>
      </c>
      <c r="B26" s="9">
        <v>105</v>
      </c>
      <c r="C26" s="9">
        <v>108.3</v>
      </c>
      <c r="D26" s="9"/>
      <c r="E26" s="9"/>
      <c r="F26" s="9">
        <f>D26-B26</f>
        <v>-105</v>
      </c>
      <c r="G26" s="9">
        <f t="shared" si="1"/>
        <v>3.2999999999999972</v>
      </c>
      <c r="H26" s="9">
        <f t="shared" si="1"/>
        <v>-108.3</v>
      </c>
    </row>
    <row r="27" spans="1:8" x14ac:dyDescent="0.25">
      <c r="A27" s="11" t="s">
        <v>56</v>
      </c>
      <c r="B27" s="9">
        <v>65.2</v>
      </c>
      <c r="C27" s="9">
        <v>113.3</v>
      </c>
      <c r="D27" s="9"/>
      <c r="E27" s="9"/>
      <c r="F27" s="9">
        <f>D27-B27</f>
        <v>-65.2</v>
      </c>
      <c r="G27" s="9">
        <f t="shared" si="1"/>
        <v>48.099999999999994</v>
      </c>
      <c r="H27" s="9">
        <f t="shared" si="1"/>
        <v>-113.3</v>
      </c>
    </row>
    <row r="28" spans="1:8" x14ac:dyDescent="0.25">
      <c r="A28" s="9"/>
      <c r="B28" s="9"/>
      <c r="C28" s="9"/>
      <c r="D28" s="9"/>
      <c r="E28" s="9"/>
      <c r="F28" s="9"/>
      <c r="G28" s="9"/>
      <c r="H28" s="9"/>
    </row>
    <row r="29" spans="1:8" x14ac:dyDescent="0.25">
      <c r="A29" s="9" t="s">
        <v>6</v>
      </c>
      <c r="B29" s="9" t="s">
        <v>28</v>
      </c>
      <c r="C29" s="9"/>
      <c r="D29" s="9"/>
      <c r="E29" s="9"/>
      <c r="F29" s="9"/>
      <c r="G29" s="9"/>
      <c r="H29" s="9"/>
    </row>
    <row r="30" spans="1:8" x14ac:dyDescent="0.25">
      <c r="A30" s="9" t="s">
        <v>7</v>
      </c>
      <c r="B30" s="9" t="s">
        <v>29</v>
      </c>
      <c r="C30" s="9"/>
      <c r="D30" s="9"/>
      <c r="E30" s="9"/>
      <c r="F30" s="9"/>
      <c r="G30" s="9"/>
      <c r="H30" s="9"/>
    </row>
    <row r="31" spans="1:8" x14ac:dyDescent="0.25">
      <c r="A31" s="9" t="s">
        <v>8</v>
      </c>
      <c r="B31" s="9" t="s">
        <v>29</v>
      </c>
      <c r="C31" s="9"/>
      <c r="D31" s="9"/>
      <c r="E31" s="9"/>
      <c r="F31" s="9"/>
      <c r="G31" s="9"/>
      <c r="H31" s="9"/>
    </row>
    <row r="32" spans="1:8" x14ac:dyDescent="0.25">
      <c r="A32" s="9" t="s">
        <v>9</v>
      </c>
      <c r="B32" s="9" t="s">
        <v>29</v>
      </c>
      <c r="C32" s="9"/>
      <c r="D32" s="9"/>
      <c r="E32" s="9"/>
      <c r="F32" s="9"/>
      <c r="G32" s="9"/>
      <c r="H32" s="9"/>
    </row>
    <row r="33" spans="1:8" x14ac:dyDescent="0.25">
      <c r="A33" s="9" t="s">
        <v>10</v>
      </c>
      <c r="B33" s="9" t="s">
        <v>29</v>
      </c>
      <c r="C33" s="9"/>
      <c r="D33" s="9"/>
      <c r="E33" s="9"/>
      <c r="F33" s="9"/>
      <c r="G33" s="9"/>
      <c r="H33" s="9"/>
    </row>
    <row r="34" spans="1:8" x14ac:dyDescent="0.25">
      <c r="A34" s="9" t="s">
        <v>11</v>
      </c>
      <c r="B34" s="9" t="s">
        <v>29</v>
      </c>
      <c r="C34" s="9"/>
      <c r="D34" s="9"/>
      <c r="E34" s="9"/>
      <c r="F34" s="9"/>
      <c r="G34" s="9"/>
      <c r="H34" s="9"/>
    </row>
    <row r="35" spans="1:8" x14ac:dyDescent="0.25">
      <c r="A35" s="9" t="s">
        <v>13</v>
      </c>
      <c r="B35" s="9" t="s">
        <v>29</v>
      </c>
      <c r="C35" s="9"/>
      <c r="D35" s="9"/>
      <c r="E35" s="9"/>
      <c r="F35" s="9"/>
      <c r="G35" s="9"/>
      <c r="H35" s="9"/>
    </row>
    <row r="36" spans="1:8" x14ac:dyDescent="0.25">
      <c r="A36" s="9" t="s">
        <v>12</v>
      </c>
      <c r="B36" s="9" t="s">
        <v>29</v>
      </c>
      <c r="C36" s="9"/>
      <c r="D36" s="9"/>
      <c r="E36" s="9"/>
      <c r="F36" s="9"/>
      <c r="G36" s="9"/>
      <c r="H3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topLeftCell="A10" workbookViewId="0">
      <selection activeCell="D22" sqref="D22"/>
    </sheetView>
  </sheetViews>
  <sheetFormatPr defaultRowHeight="15" x14ac:dyDescent="0.25"/>
  <cols>
    <col min="1" max="1" width="32" customWidth="1"/>
    <col min="6" max="6" width="14" customWidth="1"/>
    <col min="7" max="7" width="14.42578125" customWidth="1"/>
    <col min="8" max="8" width="12.85546875" customWidth="1"/>
  </cols>
  <sheetData>
    <row r="1" spans="1:8" x14ac:dyDescent="0.25">
      <c r="B1" s="7" t="s">
        <v>40</v>
      </c>
      <c r="C1" s="7" t="s">
        <v>41</v>
      </c>
      <c r="D1" s="7" t="s">
        <v>45</v>
      </c>
      <c r="F1" s="8" t="s">
        <v>43</v>
      </c>
      <c r="G1" s="8" t="s">
        <v>42</v>
      </c>
      <c r="H1" s="8" t="s">
        <v>44</v>
      </c>
    </row>
    <row r="2" spans="1:8" x14ac:dyDescent="0.25">
      <c r="A2" s="2" t="s">
        <v>19</v>
      </c>
      <c r="B2">
        <v>161.5</v>
      </c>
    </row>
    <row r="3" spans="1:8" x14ac:dyDescent="0.25">
      <c r="A3" s="2" t="s">
        <v>20</v>
      </c>
      <c r="B3">
        <v>62</v>
      </c>
      <c r="C3">
        <v>62.2</v>
      </c>
      <c r="D3">
        <v>62.2</v>
      </c>
      <c r="F3">
        <f>D3-B3</f>
        <v>0.20000000000000284</v>
      </c>
      <c r="G3">
        <f>C3-B3</f>
        <v>0.20000000000000284</v>
      </c>
      <c r="H3">
        <f>D3-C3</f>
        <v>0</v>
      </c>
    </row>
    <row r="4" spans="1:8" x14ac:dyDescent="0.25">
      <c r="A4" s="2"/>
    </row>
    <row r="5" spans="1:8" x14ac:dyDescent="0.25">
      <c r="A5" s="2" t="s">
        <v>0</v>
      </c>
      <c r="B5">
        <v>1.008</v>
      </c>
      <c r="C5">
        <v>1.012</v>
      </c>
      <c r="D5">
        <v>1</v>
      </c>
    </row>
    <row r="6" spans="1:8" x14ac:dyDescent="0.25">
      <c r="A6" s="2"/>
    </row>
    <row r="7" spans="1:8" x14ac:dyDescent="0.25">
      <c r="A7" s="2"/>
    </row>
    <row r="8" spans="1:8" x14ac:dyDescent="0.25">
      <c r="A8" s="2" t="s">
        <v>1</v>
      </c>
    </row>
    <row r="9" spans="1:8" x14ac:dyDescent="0.25">
      <c r="A9" s="1" t="s">
        <v>14</v>
      </c>
      <c r="B9">
        <v>36.799999999999997</v>
      </c>
      <c r="C9">
        <v>37.1</v>
      </c>
      <c r="D9">
        <v>36.5</v>
      </c>
    </row>
    <row r="10" spans="1:8" x14ac:dyDescent="0.25">
      <c r="A10" s="1" t="s">
        <v>15</v>
      </c>
      <c r="B10">
        <v>20.9</v>
      </c>
      <c r="C10">
        <v>20.7</v>
      </c>
      <c r="D10">
        <v>21</v>
      </c>
    </row>
    <row r="11" spans="1:8" x14ac:dyDescent="0.25">
      <c r="A11" s="1" t="s">
        <v>16</v>
      </c>
      <c r="B11">
        <v>15.9</v>
      </c>
      <c r="C11">
        <v>16.399999999999999</v>
      </c>
      <c r="D11">
        <v>15.5</v>
      </c>
    </row>
    <row r="12" spans="1:8" x14ac:dyDescent="0.25">
      <c r="A12" s="1" t="s">
        <v>17</v>
      </c>
      <c r="B12">
        <v>11.7</v>
      </c>
      <c r="C12">
        <v>11.5</v>
      </c>
      <c r="D12">
        <v>12.3</v>
      </c>
      <c r="F12">
        <f>D12-B12</f>
        <v>0.60000000000000142</v>
      </c>
      <c r="G12">
        <f t="shared" ref="G12:H14" si="0">C12-B12</f>
        <v>-0.19999999999999929</v>
      </c>
      <c r="H12">
        <f t="shared" si="0"/>
        <v>0.80000000000000071</v>
      </c>
    </row>
    <row r="13" spans="1:8" x14ac:dyDescent="0.25">
      <c r="A13" s="1" t="s">
        <v>18</v>
      </c>
      <c r="B13">
        <v>50.3</v>
      </c>
      <c r="C13">
        <v>50.7</v>
      </c>
      <c r="D13">
        <v>49.9</v>
      </c>
      <c r="F13">
        <f>D13-B13</f>
        <v>-0.39999999999999858</v>
      </c>
      <c r="G13">
        <f t="shared" si="0"/>
        <v>0.40000000000000568</v>
      </c>
      <c r="H13">
        <f t="shared" si="0"/>
        <v>-0.80000000000000426</v>
      </c>
    </row>
    <row r="14" spans="1:8" x14ac:dyDescent="0.25">
      <c r="A14" s="1" t="s">
        <v>27</v>
      </c>
      <c r="B14" s="5">
        <v>0.189</v>
      </c>
      <c r="C14" s="5">
        <v>0.185</v>
      </c>
      <c r="D14" s="5">
        <v>0.19800000000000001</v>
      </c>
      <c r="E14" s="5"/>
      <c r="F14" s="5">
        <f>D14-B14</f>
        <v>9.000000000000008E-3</v>
      </c>
      <c r="G14" s="5">
        <f t="shared" si="0"/>
        <v>-4.0000000000000036E-3</v>
      </c>
      <c r="H14" s="5">
        <f t="shared" si="0"/>
        <v>1.3000000000000012E-2</v>
      </c>
    </row>
    <row r="15" spans="1:8" x14ac:dyDescent="0.25">
      <c r="A15" s="3" t="s">
        <v>2</v>
      </c>
    </row>
    <row r="16" spans="1:8" x14ac:dyDescent="0.25">
      <c r="A16" s="1" t="s">
        <v>21</v>
      </c>
      <c r="B16">
        <v>38.5</v>
      </c>
      <c r="D16">
        <v>39.770000000000003</v>
      </c>
      <c r="F16">
        <f>D16-B16</f>
        <v>1.2700000000000031</v>
      </c>
    </row>
    <row r="17" spans="1:8" x14ac:dyDescent="0.25">
      <c r="A17" s="1" t="s">
        <v>17</v>
      </c>
      <c r="B17">
        <v>21.4</v>
      </c>
      <c r="D17">
        <v>20.73</v>
      </c>
      <c r="F17">
        <f>D17-B17</f>
        <v>-0.66999999999999815</v>
      </c>
    </row>
    <row r="18" spans="1:8" x14ac:dyDescent="0.25">
      <c r="A18" s="1" t="s">
        <v>27</v>
      </c>
      <c r="B18" s="5">
        <v>0.35799999999999998</v>
      </c>
      <c r="C18" s="5"/>
      <c r="D18" s="5">
        <v>0.34300000000000003</v>
      </c>
      <c r="E18" s="5"/>
      <c r="F18" s="5">
        <f>D18-B18</f>
        <v>-1.4999999999999958E-2</v>
      </c>
      <c r="G18" s="5"/>
      <c r="H18" s="5"/>
    </row>
    <row r="19" spans="1:8" x14ac:dyDescent="0.25">
      <c r="A19" s="3" t="s">
        <v>3</v>
      </c>
    </row>
    <row r="20" spans="1:8" x14ac:dyDescent="0.25">
      <c r="A20" s="4" t="s">
        <v>22</v>
      </c>
      <c r="B20">
        <v>1.73</v>
      </c>
      <c r="D20">
        <v>1.71</v>
      </c>
      <c r="F20">
        <f>D20-B20</f>
        <v>-2.0000000000000018E-2</v>
      </c>
    </row>
    <row r="21" spans="1:8" x14ac:dyDescent="0.25">
      <c r="A21" s="4" t="s">
        <v>4</v>
      </c>
      <c r="B21">
        <v>24.7</v>
      </c>
      <c r="D21">
        <v>15.5</v>
      </c>
      <c r="F21">
        <f>D21-B21</f>
        <v>-9.1999999999999993</v>
      </c>
    </row>
    <row r="23" spans="1:8" x14ac:dyDescent="0.25">
      <c r="A23" s="2" t="s">
        <v>5</v>
      </c>
    </row>
    <row r="24" spans="1:8" x14ac:dyDescent="0.25">
      <c r="A24" s="1" t="s">
        <v>23</v>
      </c>
      <c r="B24">
        <v>79.599999999999994</v>
      </c>
      <c r="C24">
        <v>95.7</v>
      </c>
      <c r="D24">
        <v>96.8</v>
      </c>
      <c r="F24">
        <f>D24-B24</f>
        <v>17.200000000000003</v>
      </c>
      <c r="G24">
        <f t="shared" ref="G24:H27" si="1">C24-B24</f>
        <v>16.100000000000009</v>
      </c>
      <c r="H24">
        <f t="shared" si="1"/>
        <v>1.0999999999999943</v>
      </c>
    </row>
    <row r="25" spans="1:8" x14ac:dyDescent="0.25">
      <c r="A25" s="1" t="s">
        <v>24</v>
      </c>
      <c r="B25">
        <v>42.2</v>
      </c>
      <c r="C25">
        <v>56</v>
      </c>
      <c r="D25">
        <v>55.3</v>
      </c>
      <c r="F25">
        <f>D25-B25</f>
        <v>13.099999999999994</v>
      </c>
      <c r="G25">
        <f t="shared" si="1"/>
        <v>13.799999999999997</v>
      </c>
      <c r="H25">
        <f t="shared" si="1"/>
        <v>-0.70000000000000284</v>
      </c>
    </row>
    <row r="26" spans="1:8" x14ac:dyDescent="0.25">
      <c r="A26" s="1" t="s">
        <v>25</v>
      </c>
      <c r="B26">
        <v>62.8</v>
      </c>
      <c r="C26">
        <v>69.900000000000006</v>
      </c>
      <c r="D26">
        <v>72.2</v>
      </c>
      <c r="F26">
        <f>D26-B26</f>
        <v>9.4000000000000057</v>
      </c>
      <c r="G26">
        <f t="shared" si="1"/>
        <v>7.1000000000000085</v>
      </c>
      <c r="H26">
        <f t="shared" si="1"/>
        <v>2.2999999999999972</v>
      </c>
    </row>
    <row r="27" spans="1:8" x14ac:dyDescent="0.25">
      <c r="A27" s="1" t="s">
        <v>26</v>
      </c>
      <c r="B27">
        <v>41.6</v>
      </c>
      <c r="C27">
        <v>50.7</v>
      </c>
      <c r="D27">
        <v>46.4</v>
      </c>
      <c r="F27">
        <f>D27-B27</f>
        <v>4.7999999999999972</v>
      </c>
      <c r="G27">
        <f t="shared" si="1"/>
        <v>9.1000000000000014</v>
      </c>
      <c r="H27">
        <f t="shared" si="1"/>
        <v>-4.3000000000000043</v>
      </c>
    </row>
    <row r="29" spans="1:8" x14ac:dyDescent="0.25">
      <c r="A29" s="2" t="s">
        <v>6</v>
      </c>
      <c r="B29" t="s">
        <v>32</v>
      </c>
    </row>
    <row r="30" spans="1:8" x14ac:dyDescent="0.25">
      <c r="A30" s="2" t="s">
        <v>47</v>
      </c>
      <c r="B30" t="s">
        <v>29</v>
      </c>
    </row>
    <row r="31" spans="1:8" x14ac:dyDescent="0.25">
      <c r="A31" s="2" t="s">
        <v>48</v>
      </c>
      <c r="B31" t="s">
        <v>29</v>
      </c>
    </row>
    <row r="32" spans="1:8" x14ac:dyDescent="0.25">
      <c r="A32" s="2" t="s">
        <v>49</v>
      </c>
      <c r="B32" t="s">
        <v>29</v>
      </c>
    </row>
    <row r="33" spans="1:2" x14ac:dyDescent="0.25">
      <c r="A33" s="2" t="s">
        <v>50</v>
      </c>
      <c r="B33" t="s">
        <v>29</v>
      </c>
    </row>
    <row r="34" spans="1:2" x14ac:dyDescent="0.25">
      <c r="A34" s="2" t="s">
        <v>9</v>
      </c>
      <c r="B34" t="s">
        <v>29</v>
      </c>
    </row>
    <row r="35" spans="1:2" x14ac:dyDescent="0.25">
      <c r="A35" s="2" t="s">
        <v>10</v>
      </c>
      <c r="B35" t="s">
        <v>29</v>
      </c>
    </row>
    <row r="36" spans="1:2" x14ac:dyDescent="0.25">
      <c r="A36" s="2" t="s">
        <v>11</v>
      </c>
      <c r="B36" t="s">
        <v>29</v>
      </c>
    </row>
    <row r="37" spans="1:2" x14ac:dyDescent="0.25">
      <c r="A37" s="2" t="s">
        <v>52</v>
      </c>
      <c r="B37" t="s">
        <v>29</v>
      </c>
    </row>
    <row r="38" spans="1:2" x14ac:dyDescent="0.25">
      <c r="A38" s="2" t="s">
        <v>12</v>
      </c>
      <c r="B38" t="s">
        <v>29</v>
      </c>
    </row>
    <row r="39" spans="1:2" x14ac:dyDescent="0.25">
      <c r="A39" s="2" t="s">
        <v>51</v>
      </c>
      <c r="B39" t="s">
        <v>29</v>
      </c>
    </row>
    <row r="40" spans="1:2" x14ac:dyDescent="0.25">
      <c r="A40" s="2" t="s">
        <v>46</v>
      </c>
      <c r="B40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"/>
  <sheetViews>
    <sheetView topLeftCell="A13" workbookViewId="0">
      <selection activeCell="D22" sqref="D22"/>
    </sheetView>
  </sheetViews>
  <sheetFormatPr defaultRowHeight="15" x14ac:dyDescent="0.25"/>
  <cols>
    <col min="1" max="1" width="31.7109375" customWidth="1"/>
    <col min="6" max="7" width="13.7109375" customWidth="1"/>
    <col min="8" max="8" width="13" customWidth="1"/>
  </cols>
  <sheetData>
    <row r="1" spans="1:8" x14ac:dyDescent="0.25">
      <c r="B1" s="7" t="s">
        <v>40</v>
      </c>
      <c r="C1" s="7" t="s">
        <v>41</v>
      </c>
      <c r="D1" s="7" t="s">
        <v>45</v>
      </c>
      <c r="F1" s="8" t="s">
        <v>43</v>
      </c>
      <c r="G1" s="8" t="s">
        <v>42</v>
      </c>
      <c r="H1" s="8" t="s">
        <v>44</v>
      </c>
    </row>
    <row r="2" spans="1:8" x14ac:dyDescent="0.25">
      <c r="A2" s="2" t="s">
        <v>19</v>
      </c>
      <c r="B2">
        <v>175.5</v>
      </c>
    </row>
    <row r="3" spans="1:8" x14ac:dyDescent="0.25">
      <c r="A3" s="2" t="s">
        <v>20</v>
      </c>
      <c r="B3">
        <v>96.8</v>
      </c>
      <c r="C3">
        <v>92.7</v>
      </c>
      <c r="D3">
        <v>93.9</v>
      </c>
      <c r="F3">
        <f>D3-B3</f>
        <v>-2.8999999999999915</v>
      </c>
      <c r="G3">
        <f>C3-B3</f>
        <v>-4.0999999999999943</v>
      </c>
      <c r="H3">
        <f>D3-C3</f>
        <v>1.2000000000000028</v>
      </c>
    </row>
    <row r="4" spans="1:8" x14ac:dyDescent="0.25">
      <c r="A4" s="2"/>
    </row>
    <row r="5" spans="1:8" x14ac:dyDescent="0.25">
      <c r="A5" s="2" t="s">
        <v>0</v>
      </c>
      <c r="B5">
        <v>1</v>
      </c>
      <c r="C5">
        <v>1.012</v>
      </c>
      <c r="D5">
        <v>1.002</v>
      </c>
    </row>
    <row r="6" spans="1:8" x14ac:dyDescent="0.25">
      <c r="A6" s="2"/>
    </row>
    <row r="7" spans="1:8" x14ac:dyDescent="0.25">
      <c r="A7" s="2"/>
    </row>
    <row r="8" spans="1:8" x14ac:dyDescent="0.25">
      <c r="A8" s="2" t="s">
        <v>1</v>
      </c>
    </row>
    <row r="9" spans="1:8" x14ac:dyDescent="0.25">
      <c r="A9" s="1" t="s">
        <v>14</v>
      </c>
      <c r="B9">
        <v>63.5</v>
      </c>
      <c r="C9">
        <v>49.7</v>
      </c>
      <c r="D9">
        <v>49.1</v>
      </c>
    </row>
    <row r="10" spans="1:8" x14ac:dyDescent="0.25">
      <c r="A10" s="1" t="s">
        <v>15</v>
      </c>
      <c r="B10">
        <v>36.799999999999997</v>
      </c>
      <c r="C10">
        <v>26.6</v>
      </c>
      <c r="D10">
        <v>24</v>
      </c>
    </row>
    <row r="11" spans="1:8" x14ac:dyDescent="0.25">
      <c r="A11" s="1" t="s">
        <v>16</v>
      </c>
      <c r="B11">
        <v>26.7</v>
      </c>
      <c r="C11">
        <v>23.1</v>
      </c>
      <c r="D11">
        <v>25.1</v>
      </c>
    </row>
    <row r="12" spans="1:8" x14ac:dyDescent="0.25">
      <c r="A12" s="1" t="s">
        <v>17</v>
      </c>
      <c r="B12">
        <v>11.9</v>
      </c>
      <c r="C12">
        <v>24.8</v>
      </c>
      <c r="D12">
        <v>26.9</v>
      </c>
      <c r="F12">
        <f>D12-B12</f>
        <v>14.999999999999998</v>
      </c>
      <c r="G12">
        <f t="shared" ref="G12:H14" si="0">C12-B12</f>
        <v>12.9</v>
      </c>
      <c r="H12">
        <f t="shared" si="0"/>
        <v>2.0999999999999979</v>
      </c>
    </row>
    <row r="13" spans="1:8" x14ac:dyDescent="0.25">
      <c r="A13" s="1" t="s">
        <v>18</v>
      </c>
      <c r="B13">
        <v>86.7</v>
      </c>
      <c r="C13">
        <v>67.900000000000006</v>
      </c>
      <c r="D13">
        <v>67</v>
      </c>
      <c r="F13">
        <f>D13-B13</f>
        <v>-19.700000000000003</v>
      </c>
      <c r="G13">
        <f t="shared" si="0"/>
        <v>-18.799999999999997</v>
      </c>
      <c r="H13">
        <f t="shared" si="0"/>
        <v>-0.90000000000000568</v>
      </c>
    </row>
    <row r="14" spans="1:8" x14ac:dyDescent="0.25">
      <c r="A14" s="1" t="s">
        <v>33</v>
      </c>
      <c r="B14" s="5">
        <v>0.121</v>
      </c>
      <c r="C14" s="5">
        <v>0.26800000000000002</v>
      </c>
      <c r="D14" s="5">
        <v>0.28599999999999998</v>
      </c>
      <c r="E14" s="5"/>
      <c r="F14" s="5">
        <f>D14-B14</f>
        <v>0.16499999999999998</v>
      </c>
      <c r="G14" s="5">
        <f t="shared" si="0"/>
        <v>0.14700000000000002</v>
      </c>
      <c r="H14" s="5">
        <f t="shared" si="0"/>
        <v>1.799999999999996E-2</v>
      </c>
    </row>
    <row r="15" spans="1:8" x14ac:dyDescent="0.25">
      <c r="A15" s="3" t="s">
        <v>2</v>
      </c>
    </row>
    <row r="16" spans="1:8" x14ac:dyDescent="0.25">
      <c r="A16" s="1" t="s">
        <v>21</v>
      </c>
      <c r="B16">
        <v>65.900000000000006</v>
      </c>
      <c r="D16">
        <v>63.3</v>
      </c>
      <c r="F16">
        <f>D16-B16</f>
        <v>-2.6000000000000085</v>
      </c>
    </row>
    <row r="17" spans="1:8" x14ac:dyDescent="0.25">
      <c r="A17" s="1" t="s">
        <v>17</v>
      </c>
      <c r="B17">
        <v>27.36</v>
      </c>
      <c r="D17">
        <v>26.9</v>
      </c>
      <c r="F17">
        <f>D17-B17</f>
        <v>-0.46000000000000085</v>
      </c>
    </row>
    <row r="18" spans="1:8" x14ac:dyDescent="0.25">
      <c r="A18" s="1" t="s">
        <v>33</v>
      </c>
      <c r="B18" s="5">
        <v>0.29299999999999998</v>
      </c>
      <c r="D18" s="5">
        <v>0.29799999999999999</v>
      </c>
      <c r="F18">
        <f>D18-B18</f>
        <v>5.0000000000000044E-3</v>
      </c>
    </row>
    <row r="19" spans="1:8" x14ac:dyDescent="0.25">
      <c r="A19" s="3" t="s">
        <v>3</v>
      </c>
    </row>
    <row r="20" spans="1:8" x14ac:dyDescent="0.25">
      <c r="A20" s="4" t="s">
        <v>22</v>
      </c>
      <c r="B20">
        <v>1.4</v>
      </c>
      <c r="D20">
        <v>1.62</v>
      </c>
      <c r="F20">
        <f>D20-B20</f>
        <v>0.2200000000000002</v>
      </c>
    </row>
    <row r="21" spans="1:8" x14ac:dyDescent="0.25">
      <c r="A21" s="4" t="s">
        <v>4</v>
      </c>
      <c r="B21">
        <v>13.7</v>
      </c>
      <c r="D21">
        <v>12</v>
      </c>
      <c r="F21">
        <f>D21-B21</f>
        <v>-1.6999999999999993</v>
      </c>
    </row>
    <row r="23" spans="1:8" x14ac:dyDescent="0.25">
      <c r="A23" s="2" t="s">
        <v>5</v>
      </c>
    </row>
    <row r="24" spans="1:8" x14ac:dyDescent="0.25">
      <c r="A24" s="1" t="s">
        <v>23</v>
      </c>
      <c r="B24">
        <v>75.599999999999994</v>
      </c>
      <c r="C24">
        <v>79</v>
      </c>
      <c r="D24">
        <v>73.5</v>
      </c>
      <c r="F24">
        <f>D24-B24</f>
        <v>-2.0999999999999943</v>
      </c>
      <c r="G24">
        <f t="shared" ref="G24:H27" si="1">C24-B24</f>
        <v>3.4000000000000057</v>
      </c>
      <c r="H24">
        <f t="shared" si="1"/>
        <v>-5.5</v>
      </c>
    </row>
    <row r="25" spans="1:8" x14ac:dyDescent="0.25">
      <c r="A25" s="1" t="s">
        <v>24</v>
      </c>
      <c r="B25">
        <v>65.7</v>
      </c>
      <c r="C25">
        <v>29.3</v>
      </c>
      <c r="D25">
        <v>27</v>
      </c>
      <c r="F25">
        <f>D25-B25</f>
        <v>-38.700000000000003</v>
      </c>
      <c r="G25">
        <f t="shared" si="1"/>
        <v>-36.400000000000006</v>
      </c>
      <c r="H25">
        <f t="shared" si="1"/>
        <v>-2.3000000000000007</v>
      </c>
    </row>
    <row r="26" spans="1:8" x14ac:dyDescent="0.25">
      <c r="A26" s="1" t="s">
        <v>25</v>
      </c>
      <c r="B26">
        <v>66.099999999999994</v>
      </c>
      <c r="C26">
        <v>66.7</v>
      </c>
      <c r="D26">
        <v>57.4</v>
      </c>
      <c r="F26">
        <f>D26-B26</f>
        <v>-8.6999999999999957</v>
      </c>
      <c r="G26">
        <f t="shared" si="1"/>
        <v>0.60000000000000853</v>
      </c>
      <c r="H26">
        <f t="shared" si="1"/>
        <v>-9.3000000000000043</v>
      </c>
    </row>
    <row r="27" spans="1:8" x14ac:dyDescent="0.25">
      <c r="A27" s="1" t="s">
        <v>26</v>
      </c>
      <c r="B27">
        <v>20.3</v>
      </c>
      <c r="C27">
        <v>24.5</v>
      </c>
      <c r="D27">
        <v>23.7</v>
      </c>
      <c r="F27">
        <f>D27-B27</f>
        <v>3.3999999999999986</v>
      </c>
      <c r="G27">
        <f t="shared" si="1"/>
        <v>4.1999999999999993</v>
      </c>
      <c r="H27">
        <f t="shared" si="1"/>
        <v>-0.80000000000000071</v>
      </c>
    </row>
    <row r="29" spans="1:8" x14ac:dyDescent="0.25">
      <c r="A29" s="2" t="s">
        <v>6</v>
      </c>
      <c r="B29" t="s">
        <v>32</v>
      </c>
    </row>
    <row r="30" spans="1:8" x14ac:dyDescent="0.25">
      <c r="A30" s="2" t="s">
        <v>47</v>
      </c>
      <c r="B30" t="s">
        <v>34</v>
      </c>
    </row>
    <row r="31" spans="1:8" x14ac:dyDescent="0.25">
      <c r="A31" s="2" t="s">
        <v>48</v>
      </c>
      <c r="B31" t="s">
        <v>34</v>
      </c>
    </row>
    <row r="32" spans="1:8" x14ac:dyDescent="0.25">
      <c r="A32" s="2" t="s">
        <v>49</v>
      </c>
      <c r="B32" t="s">
        <v>34</v>
      </c>
    </row>
    <row r="33" spans="1:2" x14ac:dyDescent="0.25">
      <c r="A33" s="2" t="s">
        <v>50</v>
      </c>
      <c r="B33" t="s">
        <v>34</v>
      </c>
    </row>
    <row r="34" spans="1:2" x14ac:dyDescent="0.25">
      <c r="A34" s="2" t="s">
        <v>9</v>
      </c>
      <c r="B34" t="s">
        <v>34</v>
      </c>
    </row>
    <row r="35" spans="1:2" x14ac:dyDescent="0.25">
      <c r="A35" s="2" t="s">
        <v>10</v>
      </c>
      <c r="B35" t="s">
        <v>34</v>
      </c>
    </row>
    <row r="36" spans="1:2" x14ac:dyDescent="0.25">
      <c r="A36" s="2" t="s">
        <v>11</v>
      </c>
      <c r="B36" t="s">
        <v>34</v>
      </c>
    </row>
    <row r="37" spans="1:2" x14ac:dyDescent="0.25">
      <c r="A37" s="2" t="s">
        <v>52</v>
      </c>
      <c r="B37" t="s">
        <v>29</v>
      </c>
    </row>
    <row r="38" spans="1:2" x14ac:dyDescent="0.25">
      <c r="A38" s="2" t="s">
        <v>12</v>
      </c>
      <c r="B38" t="s">
        <v>29</v>
      </c>
    </row>
    <row r="39" spans="1:2" x14ac:dyDescent="0.25">
      <c r="A39" s="2" t="s">
        <v>51</v>
      </c>
      <c r="B39" t="s">
        <v>29</v>
      </c>
    </row>
    <row r="40" spans="1:2" x14ac:dyDescent="0.25">
      <c r="A40" s="2" t="s">
        <v>46</v>
      </c>
      <c r="B40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"/>
  <sheetViews>
    <sheetView topLeftCell="A13" workbookViewId="0">
      <selection activeCell="D22" sqref="D22"/>
    </sheetView>
  </sheetViews>
  <sheetFormatPr defaultRowHeight="15" x14ac:dyDescent="0.25"/>
  <cols>
    <col min="1" max="1" width="30.5703125" customWidth="1"/>
    <col min="6" max="6" width="13.7109375" customWidth="1"/>
    <col min="7" max="7" width="14.140625" customWidth="1"/>
    <col min="8" max="8" width="13.42578125" customWidth="1"/>
  </cols>
  <sheetData>
    <row r="1" spans="1:8" x14ac:dyDescent="0.25">
      <c r="B1" s="7" t="s">
        <v>40</v>
      </c>
      <c r="C1" s="7" t="s">
        <v>41</v>
      </c>
      <c r="D1" s="7" t="s">
        <v>45</v>
      </c>
      <c r="F1" s="8" t="s">
        <v>43</v>
      </c>
      <c r="G1" s="8" t="s">
        <v>42</v>
      </c>
      <c r="H1" s="8" t="s">
        <v>44</v>
      </c>
    </row>
    <row r="2" spans="1:8" x14ac:dyDescent="0.25">
      <c r="A2" s="2" t="s">
        <v>19</v>
      </c>
      <c r="B2">
        <v>174</v>
      </c>
    </row>
    <row r="3" spans="1:8" x14ac:dyDescent="0.25">
      <c r="A3" s="2" t="s">
        <v>20</v>
      </c>
      <c r="B3">
        <v>95.2</v>
      </c>
      <c r="C3">
        <v>96.6</v>
      </c>
      <c r="D3">
        <v>97.3</v>
      </c>
      <c r="F3">
        <f>D3-B3</f>
        <v>2.0999999999999943</v>
      </c>
      <c r="G3">
        <f>C3-B3</f>
        <v>1.3999999999999915</v>
      </c>
      <c r="H3">
        <f>D3-C3</f>
        <v>0.70000000000000284</v>
      </c>
    </row>
    <row r="4" spans="1:8" x14ac:dyDescent="0.25">
      <c r="A4" s="2"/>
    </row>
    <row r="5" spans="1:8" x14ac:dyDescent="0.25">
      <c r="A5" s="2" t="s">
        <v>0</v>
      </c>
      <c r="B5">
        <v>1.02</v>
      </c>
      <c r="C5">
        <v>1.0249999999999999</v>
      </c>
      <c r="D5">
        <v>1.014</v>
      </c>
    </row>
    <row r="6" spans="1:8" x14ac:dyDescent="0.25">
      <c r="A6" s="2"/>
    </row>
    <row r="7" spans="1:8" x14ac:dyDescent="0.25">
      <c r="A7" s="2"/>
    </row>
    <row r="8" spans="1:8" x14ac:dyDescent="0.25">
      <c r="A8" s="2" t="s">
        <v>1</v>
      </c>
    </row>
    <row r="9" spans="1:8" x14ac:dyDescent="0.25">
      <c r="A9" s="1" t="s">
        <v>14</v>
      </c>
      <c r="B9">
        <v>49.9</v>
      </c>
      <c r="C9">
        <v>50.4</v>
      </c>
      <c r="D9">
        <v>51.3</v>
      </c>
    </row>
    <row r="10" spans="1:8" x14ac:dyDescent="0.25">
      <c r="A10" s="1" t="s">
        <v>15</v>
      </c>
      <c r="B10">
        <v>27.3</v>
      </c>
      <c r="C10">
        <v>22.8</v>
      </c>
      <c r="D10">
        <v>27.9</v>
      </c>
    </row>
    <row r="11" spans="1:8" x14ac:dyDescent="0.25">
      <c r="A11" s="1" t="s">
        <v>16</v>
      </c>
      <c r="B11">
        <v>22.6</v>
      </c>
      <c r="C11">
        <v>27.6</v>
      </c>
      <c r="D11">
        <v>23.4</v>
      </c>
    </row>
    <row r="12" spans="1:8" x14ac:dyDescent="0.25">
      <c r="A12" s="1" t="s">
        <v>17</v>
      </c>
      <c r="B12">
        <v>27</v>
      </c>
      <c r="C12">
        <v>27.9</v>
      </c>
      <c r="D12">
        <v>27.3</v>
      </c>
      <c r="F12">
        <f>D12-B12</f>
        <v>0.30000000000000071</v>
      </c>
      <c r="G12">
        <f t="shared" ref="G12:H14" si="0">C12-B12</f>
        <v>0.89999999999999858</v>
      </c>
      <c r="H12">
        <f t="shared" si="0"/>
        <v>-0.59999999999999787</v>
      </c>
    </row>
    <row r="13" spans="1:8" x14ac:dyDescent="0.25">
      <c r="A13" s="1" t="s">
        <v>18</v>
      </c>
      <c r="B13">
        <v>68.2</v>
      </c>
      <c r="C13">
        <v>68.7</v>
      </c>
      <c r="D13">
        <v>70</v>
      </c>
      <c r="F13">
        <f>D13-B13</f>
        <v>1.7999999999999972</v>
      </c>
      <c r="G13">
        <f t="shared" si="0"/>
        <v>0.5</v>
      </c>
      <c r="H13">
        <f t="shared" si="0"/>
        <v>1.2999999999999972</v>
      </c>
    </row>
    <row r="14" spans="1:8" x14ac:dyDescent="0.25">
      <c r="A14" s="1" t="s">
        <v>33</v>
      </c>
      <c r="B14" s="5">
        <v>0.28399999999999997</v>
      </c>
      <c r="C14" s="5">
        <v>0.28899999999999998</v>
      </c>
      <c r="D14" s="5">
        <v>0.28100000000000003</v>
      </c>
      <c r="E14" s="5"/>
      <c r="F14" s="5">
        <f>D14-B14</f>
        <v>-2.9999999999999472E-3</v>
      </c>
      <c r="G14" s="5">
        <f t="shared" si="0"/>
        <v>5.0000000000000044E-3</v>
      </c>
      <c r="H14" s="5">
        <f t="shared" si="0"/>
        <v>-7.9999999999999516E-3</v>
      </c>
    </row>
    <row r="15" spans="1:8" x14ac:dyDescent="0.25">
      <c r="A15" s="3" t="s">
        <v>2</v>
      </c>
    </row>
    <row r="16" spans="1:8" x14ac:dyDescent="0.25">
      <c r="A16" s="1" t="s">
        <v>21</v>
      </c>
      <c r="B16">
        <v>57</v>
      </c>
      <c r="D16">
        <v>57.77</v>
      </c>
      <c r="F16">
        <f>D16-B16</f>
        <v>0.77000000000000313</v>
      </c>
    </row>
    <row r="17" spans="1:8" x14ac:dyDescent="0.25">
      <c r="A17" s="1" t="s">
        <v>17</v>
      </c>
      <c r="B17">
        <v>35.4</v>
      </c>
      <c r="D17">
        <v>36.36</v>
      </c>
      <c r="F17">
        <f>D17-B17</f>
        <v>0.96000000000000085</v>
      </c>
    </row>
    <row r="18" spans="1:8" x14ac:dyDescent="0.25">
      <c r="A18" s="1" t="s">
        <v>33</v>
      </c>
      <c r="B18" s="5">
        <v>0.38300000000000001</v>
      </c>
      <c r="D18" s="5">
        <v>0.38600000000000001</v>
      </c>
      <c r="F18">
        <f>D18-B18</f>
        <v>3.0000000000000027E-3</v>
      </c>
    </row>
    <row r="19" spans="1:8" x14ac:dyDescent="0.25">
      <c r="A19" s="3" t="s">
        <v>3</v>
      </c>
    </row>
    <row r="20" spans="1:8" x14ac:dyDescent="0.25">
      <c r="A20" s="4" t="s">
        <v>22</v>
      </c>
      <c r="B20">
        <v>2.06</v>
      </c>
      <c r="D20">
        <v>2.23</v>
      </c>
      <c r="F20">
        <f>D20-B20</f>
        <v>0.16999999999999993</v>
      </c>
    </row>
    <row r="21" spans="1:8" x14ac:dyDescent="0.25">
      <c r="A21" s="4" t="s">
        <v>4</v>
      </c>
      <c r="B21">
        <v>19.399999999999999</v>
      </c>
      <c r="D21">
        <v>18.600000000000001</v>
      </c>
      <c r="F21">
        <f>D21-B21</f>
        <v>-0.79999999999999716</v>
      </c>
    </row>
    <row r="23" spans="1:8" x14ac:dyDescent="0.25">
      <c r="A23" s="2" t="s">
        <v>5</v>
      </c>
    </row>
    <row r="24" spans="1:8" x14ac:dyDescent="0.25">
      <c r="A24" s="1" t="s">
        <v>23</v>
      </c>
      <c r="B24">
        <v>122.1</v>
      </c>
      <c r="C24">
        <v>163.5</v>
      </c>
      <c r="D24">
        <v>147.4</v>
      </c>
      <c r="F24">
        <f>D24-B24</f>
        <v>25.300000000000011</v>
      </c>
      <c r="G24">
        <f t="shared" ref="G24:H27" si="1">C24-B24</f>
        <v>41.400000000000006</v>
      </c>
      <c r="H24">
        <f t="shared" si="1"/>
        <v>-16.099999999999994</v>
      </c>
    </row>
    <row r="25" spans="1:8" x14ac:dyDescent="0.25">
      <c r="A25" s="1" t="s">
        <v>24</v>
      </c>
      <c r="B25">
        <v>63.2</v>
      </c>
      <c r="C25">
        <v>97.7</v>
      </c>
      <c r="D25">
        <v>100.7</v>
      </c>
      <c r="F25">
        <f>D25-B25</f>
        <v>37.5</v>
      </c>
      <c r="G25">
        <f t="shared" si="1"/>
        <v>34.5</v>
      </c>
      <c r="H25">
        <f t="shared" si="1"/>
        <v>3</v>
      </c>
    </row>
    <row r="26" spans="1:8" x14ac:dyDescent="0.25">
      <c r="A26" s="1" t="s">
        <v>25</v>
      </c>
      <c r="B26">
        <v>115.6</v>
      </c>
      <c r="C26">
        <v>121.3</v>
      </c>
      <c r="D26">
        <v>112.7</v>
      </c>
      <c r="F26">
        <f>D26-B26</f>
        <v>-2.8999999999999915</v>
      </c>
      <c r="G26">
        <f t="shared" si="1"/>
        <v>5.7000000000000028</v>
      </c>
      <c r="H26">
        <f t="shared" si="1"/>
        <v>-8.5999999999999943</v>
      </c>
    </row>
    <row r="27" spans="1:8" x14ac:dyDescent="0.25">
      <c r="A27" s="1" t="s">
        <v>26</v>
      </c>
      <c r="B27">
        <v>58.9</v>
      </c>
      <c r="C27">
        <v>62.9</v>
      </c>
      <c r="D27">
        <v>71.599999999999994</v>
      </c>
      <c r="F27">
        <f>D27-B27</f>
        <v>12.699999999999996</v>
      </c>
      <c r="G27">
        <f t="shared" si="1"/>
        <v>4</v>
      </c>
      <c r="H27">
        <f t="shared" si="1"/>
        <v>8.6999999999999957</v>
      </c>
    </row>
    <row r="29" spans="1:8" x14ac:dyDescent="0.25">
      <c r="A29" s="2" t="s">
        <v>6</v>
      </c>
      <c r="B29" t="s">
        <v>39</v>
      </c>
    </row>
    <row r="30" spans="1:8" x14ac:dyDescent="0.25">
      <c r="A30" s="2" t="s">
        <v>47</v>
      </c>
      <c r="B30" t="s">
        <v>34</v>
      </c>
    </row>
    <row r="31" spans="1:8" x14ac:dyDescent="0.25">
      <c r="A31" s="2" t="s">
        <v>48</v>
      </c>
      <c r="B31" t="s">
        <v>34</v>
      </c>
    </row>
    <row r="32" spans="1:8" x14ac:dyDescent="0.25">
      <c r="A32" s="2" t="s">
        <v>49</v>
      </c>
      <c r="B32" t="s">
        <v>34</v>
      </c>
    </row>
    <row r="33" spans="1:2" x14ac:dyDescent="0.25">
      <c r="A33" s="2" t="s">
        <v>50</v>
      </c>
      <c r="B33" t="s">
        <v>34</v>
      </c>
    </row>
    <row r="34" spans="1:2" x14ac:dyDescent="0.25">
      <c r="A34" s="2" t="s">
        <v>9</v>
      </c>
      <c r="B34" t="s">
        <v>34</v>
      </c>
    </row>
    <row r="35" spans="1:2" x14ac:dyDescent="0.25">
      <c r="A35" s="2" t="s">
        <v>10</v>
      </c>
      <c r="B35" t="s">
        <v>34</v>
      </c>
    </row>
    <row r="36" spans="1:2" x14ac:dyDescent="0.25">
      <c r="A36" s="2" t="s">
        <v>11</v>
      </c>
      <c r="B36" t="s">
        <v>34</v>
      </c>
    </row>
    <row r="37" spans="1:2" x14ac:dyDescent="0.25">
      <c r="A37" s="2" t="s">
        <v>52</v>
      </c>
      <c r="B37" t="s">
        <v>29</v>
      </c>
    </row>
    <row r="38" spans="1:2" x14ac:dyDescent="0.25">
      <c r="A38" s="2" t="s">
        <v>12</v>
      </c>
      <c r="B38" t="s">
        <v>29</v>
      </c>
    </row>
    <row r="39" spans="1:2" x14ac:dyDescent="0.25">
      <c r="A39" s="2" t="s">
        <v>51</v>
      </c>
      <c r="B39" t="s">
        <v>29</v>
      </c>
    </row>
    <row r="40" spans="1:2" x14ac:dyDescent="0.25">
      <c r="A40" s="2" t="s">
        <v>46</v>
      </c>
      <c r="B40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0"/>
  <sheetViews>
    <sheetView topLeftCell="A10" workbookViewId="0">
      <selection activeCell="D22" sqref="D22"/>
    </sheetView>
  </sheetViews>
  <sheetFormatPr defaultRowHeight="15" x14ac:dyDescent="0.25"/>
  <cols>
    <col min="1" max="1" width="31.85546875" customWidth="1"/>
    <col min="6" max="6" width="14.5703125" customWidth="1"/>
    <col min="7" max="7" width="15" customWidth="1"/>
    <col min="8" max="8" width="13.140625" customWidth="1"/>
  </cols>
  <sheetData>
    <row r="1" spans="1:8" x14ac:dyDescent="0.25">
      <c r="B1" s="7" t="s">
        <v>40</v>
      </c>
      <c r="C1" s="7" t="s">
        <v>41</v>
      </c>
      <c r="D1" s="7" t="s">
        <v>45</v>
      </c>
      <c r="F1" s="8" t="s">
        <v>43</v>
      </c>
      <c r="G1" s="8" t="s">
        <v>42</v>
      </c>
      <c r="H1" s="8" t="s">
        <v>44</v>
      </c>
    </row>
    <row r="2" spans="1:8" x14ac:dyDescent="0.25">
      <c r="A2" s="2" t="s">
        <v>19</v>
      </c>
      <c r="B2">
        <v>170</v>
      </c>
    </row>
    <row r="3" spans="1:8" x14ac:dyDescent="0.25">
      <c r="A3" s="2" t="s">
        <v>20</v>
      </c>
      <c r="B3">
        <v>108.6</v>
      </c>
      <c r="C3">
        <v>110.6</v>
      </c>
      <c r="D3">
        <v>109.5</v>
      </c>
      <c r="F3">
        <f>D3-B3</f>
        <v>0.90000000000000568</v>
      </c>
      <c r="G3">
        <f>C3-B3</f>
        <v>2</v>
      </c>
      <c r="H3">
        <f>D3-C3</f>
        <v>-1.0999999999999943</v>
      </c>
    </row>
    <row r="4" spans="1:8" x14ac:dyDescent="0.25">
      <c r="A4" s="2"/>
    </row>
    <row r="5" spans="1:8" x14ac:dyDescent="0.25">
      <c r="A5" s="2" t="s">
        <v>0</v>
      </c>
      <c r="B5">
        <v>1</v>
      </c>
      <c r="C5">
        <v>1.01</v>
      </c>
    </row>
    <row r="6" spans="1:8" x14ac:dyDescent="0.25">
      <c r="A6" s="2"/>
    </row>
    <row r="7" spans="1:8" x14ac:dyDescent="0.25">
      <c r="A7" s="2"/>
    </row>
    <row r="8" spans="1:8" x14ac:dyDescent="0.25">
      <c r="A8" s="2" t="s">
        <v>1</v>
      </c>
    </row>
    <row r="9" spans="1:8" x14ac:dyDescent="0.25">
      <c r="A9" s="1" t="s">
        <v>14</v>
      </c>
      <c r="B9">
        <v>44.5</v>
      </c>
      <c r="C9">
        <v>46.9</v>
      </c>
      <c r="D9">
        <v>43.7</v>
      </c>
    </row>
    <row r="10" spans="1:8" x14ac:dyDescent="0.25">
      <c r="A10" s="1" t="s">
        <v>15</v>
      </c>
      <c r="B10">
        <v>24.6</v>
      </c>
      <c r="C10">
        <v>25.6</v>
      </c>
      <c r="D10">
        <v>23.6</v>
      </c>
    </row>
    <row r="11" spans="1:8" x14ac:dyDescent="0.25">
      <c r="A11" s="1" t="s">
        <v>16</v>
      </c>
      <c r="B11">
        <v>19.899999999999999</v>
      </c>
      <c r="C11">
        <v>21.3</v>
      </c>
      <c r="D11">
        <v>20.100000000000001</v>
      </c>
    </row>
    <row r="12" spans="1:8" x14ac:dyDescent="0.25">
      <c r="A12" s="1" t="s">
        <v>17</v>
      </c>
      <c r="B12">
        <v>46</v>
      </c>
      <c r="C12">
        <v>46.5</v>
      </c>
      <c r="D12">
        <v>49.8</v>
      </c>
      <c r="F12">
        <f>D12-B12</f>
        <v>3.7999999999999972</v>
      </c>
      <c r="G12">
        <f t="shared" ref="G12:H14" si="0">C12-B12</f>
        <v>0.5</v>
      </c>
      <c r="H12">
        <f t="shared" si="0"/>
        <v>3.2999999999999972</v>
      </c>
    </row>
    <row r="13" spans="1:8" x14ac:dyDescent="0.25">
      <c r="A13" s="1" t="s">
        <v>18</v>
      </c>
      <c r="B13">
        <v>60.8</v>
      </c>
      <c r="C13">
        <v>64.099999999999994</v>
      </c>
      <c r="D13">
        <v>59.7</v>
      </c>
      <c r="F13">
        <f>D13-B13</f>
        <v>-1.0999999999999943</v>
      </c>
      <c r="G13">
        <f t="shared" si="0"/>
        <v>3.2999999999999972</v>
      </c>
      <c r="H13">
        <f t="shared" si="0"/>
        <v>-4.3999999999999915</v>
      </c>
    </row>
    <row r="14" spans="1:8" x14ac:dyDescent="0.25">
      <c r="A14" s="1" t="s">
        <v>36</v>
      </c>
      <c r="B14" s="5">
        <v>0.43099999999999999</v>
      </c>
      <c r="C14" s="5">
        <v>0.42</v>
      </c>
      <c r="D14" s="5">
        <v>0.45500000000000002</v>
      </c>
      <c r="E14" s="5"/>
      <c r="F14" s="5">
        <f>D14-B14</f>
        <v>2.4000000000000021E-2</v>
      </c>
      <c r="G14" s="5">
        <f t="shared" si="0"/>
        <v>-1.100000000000001E-2</v>
      </c>
      <c r="H14" s="5">
        <f t="shared" si="0"/>
        <v>3.5000000000000031E-2</v>
      </c>
    </row>
    <row r="15" spans="1:8" x14ac:dyDescent="0.25">
      <c r="A15" s="3" t="s">
        <v>2</v>
      </c>
    </row>
    <row r="16" spans="1:8" x14ac:dyDescent="0.25">
      <c r="A16" s="1" t="s">
        <v>21</v>
      </c>
      <c r="B16">
        <v>57.5</v>
      </c>
      <c r="D16">
        <v>58.04</v>
      </c>
      <c r="F16">
        <f>D16-B16</f>
        <v>0.53999999999999915</v>
      </c>
    </row>
    <row r="17" spans="1:8" x14ac:dyDescent="0.25">
      <c r="A17" s="1" t="s">
        <v>17</v>
      </c>
      <c r="B17">
        <v>48.5</v>
      </c>
      <c r="D17">
        <v>48.31</v>
      </c>
      <c r="F17">
        <f>D17-B17</f>
        <v>-0.18999999999999773</v>
      </c>
    </row>
    <row r="18" spans="1:8" x14ac:dyDescent="0.25">
      <c r="A18" s="1" t="s">
        <v>36</v>
      </c>
      <c r="B18" s="5">
        <v>0.45800000000000002</v>
      </c>
      <c r="D18" s="5">
        <v>0.45400000000000001</v>
      </c>
      <c r="F18">
        <f>D18-B18</f>
        <v>-4.0000000000000036E-3</v>
      </c>
    </row>
    <row r="19" spans="1:8" x14ac:dyDescent="0.25">
      <c r="A19" s="3" t="s">
        <v>3</v>
      </c>
    </row>
    <row r="20" spans="1:8" x14ac:dyDescent="0.25">
      <c r="A20" s="4" t="s">
        <v>22</v>
      </c>
      <c r="B20">
        <v>1.58</v>
      </c>
      <c r="D20">
        <v>1.98</v>
      </c>
      <c r="F20">
        <f>D20-B20</f>
        <v>0.39999999999999991</v>
      </c>
    </row>
    <row r="21" spans="1:8" x14ac:dyDescent="0.25">
      <c r="A21" s="4" t="s">
        <v>4</v>
      </c>
      <c r="B21">
        <v>29.9</v>
      </c>
      <c r="D21">
        <v>14.3</v>
      </c>
      <c r="F21">
        <f>D21-B21</f>
        <v>-15.599999999999998</v>
      </c>
    </row>
    <row r="23" spans="1:8" x14ac:dyDescent="0.25">
      <c r="A23" s="2" t="s">
        <v>5</v>
      </c>
    </row>
    <row r="24" spans="1:8" x14ac:dyDescent="0.25">
      <c r="A24" s="1" t="s">
        <v>23</v>
      </c>
      <c r="B24">
        <v>52.2</v>
      </c>
      <c r="C24">
        <v>125.1</v>
      </c>
      <c r="D24">
        <v>26.2</v>
      </c>
      <c r="F24">
        <f>D24-B24</f>
        <v>-26.000000000000004</v>
      </c>
      <c r="G24">
        <f t="shared" ref="G24:H27" si="1">C24-B24</f>
        <v>72.899999999999991</v>
      </c>
      <c r="H24">
        <f t="shared" si="1"/>
        <v>-98.899999999999991</v>
      </c>
    </row>
    <row r="25" spans="1:8" x14ac:dyDescent="0.25">
      <c r="A25" s="1" t="s">
        <v>24</v>
      </c>
      <c r="B25">
        <v>20</v>
      </c>
      <c r="C25">
        <v>42.2</v>
      </c>
      <c r="D25">
        <v>12.3</v>
      </c>
      <c r="F25">
        <f>D25-B25</f>
        <v>-7.6999999999999993</v>
      </c>
      <c r="G25">
        <f t="shared" si="1"/>
        <v>22.200000000000003</v>
      </c>
      <c r="H25">
        <f t="shared" si="1"/>
        <v>-29.900000000000002</v>
      </c>
    </row>
    <row r="26" spans="1:8" x14ac:dyDescent="0.25">
      <c r="A26" s="1" t="s">
        <v>25</v>
      </c>
      <c r="B26">
        <v>27.9</v>
      </c>
      <c r="C26">
        <v>81.900000000000006</v>
      </c>
      <c r="D26">
        <v>19.2</v>
      </c>
      <c r="F26">
        <f>D26-B26</f>
        <v>-8.6999999999999993</v>
      </c>
      <c r="G26">
        <f t="shared" si="1"/>
        <v>54.000000000000007</v>
      </c>
      <c r="H26">
        <f t="shared" si="1"/>
        <v>-62.7</v>
      </c>
    </row>
    <row r="27" spans="1:8" x14ac:dyDescent="0.25">
      <c r="A27" s="1" t="s">
        <v>26</v>
      </c>
      <c r="B27">
        <v>6.8</v>
      </c>
      <c r="C27">
        <v>33.5</v>
      </c>
      <c r="D27">
        <v>7.3</v>
      </c>
      <c r="F27">
        <f>D27-B27</f>
        <v>0.5</v>
      </c>
      <c r="G27">
        <f t="shared" si="1"/>
        <v>26.7</v>
      </c>
      <c r="H27">
        <f t="shared" si="1"/>
        <v>-26.2</v>
      </c>
    </row>
    <row r="29" spans="1:8" x14ac:dyDescent="0.25">
      <c r="A29" s="2" t="s">
        <v>6</v>
      </c>
      <c r="B29" t="s">
        <v>35</v>
      </c>
    </row>
    <row r="30" spans="1:8" x14ac:dyDescent="0.25">
      <c r="A30" s="2" t="s">
        <v>47</v>
      </c>
      <c r="B30" t="s">
        <v>34</v>
      </c>
    </row>
    <row r="31" spans="1:8" x14ac:dyDescent="0.25">
      <c r="A31" s="2" t="s">
        <v>48</v>
      </c>
      <c r="B31" t="s">
        <v>34</v>
      </c>
    </row>
    <row r="32" spans="1:8" x14ac:dyDescent="0.25">
      <c r="A32" s="2" t="s">
        <v>49</v>
      </c>
      <c r="B32" t="s">
        <v>34</v>
      </c>
    </row>
    <row r="33" spans="1:2" x14ac:dyDescent="0.25">
      <c r="A33" s="2" t="s">
        <v>50</v>
      </c>
      <c r="B33" t="s">
        <v>34</v>
      </c>
    </row>
    <row r="34" spans="1:2" x14ac:dyDescent="0.25">
      <c r="A34" s="2" t="s">
        <v>9</v>
      </c>
      <c r="B34" t="s">
        <v>34</v>
      </c>
    </row>
    <row r="35" spans="1:2" x14ac:dyDescent="0.25">
      <c r="A35" s="2" t="s">
        <v>10</v>
      </c>
      <c r="B35" t="s">
        <v>34</v>
      </c>
    </row>
    <row r="36" spans="1:2" x14ac:dyDescent="0.25">
      <c r="A36" s="2" t="s">
        <v>11</v>
      </c>
      <c r="B36" t="s">
        <v>34</v>
      </c>
    </row>
    <row r="37" spans="1:2" x14ac:dyDescent="0.25">
      <c r="A37" s="2" t="s">
        <v>52</v>
      </c>
      <c r="B37" t="s">
        <v>29</v>
      </c>
    </row>
    <row r="38" spans="1:2" x14ac:dyDescent="0.25">
      <c r="A38" s="2" t="s">
        <v>12</v>
      </c>
      <c r="B38" t="s">
        <v>29</v>
      </c>
    </row>
    <row r="39" spans="1:2" x14ac:dyDescent="0.25">
      <c r="A39" s="2" t="s">
        <v>51</v>
      </c>
      <c r="B39" t="s">
        <v>29</v>
      </c>
    </row>
    <row r="40" spans="1:2" x14ac:dyDescent="0.25">
      <c r="A40" s="2" t="s">
        <v>46</v>
      </c>
      <c r="B40" t="s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0"/>
  <sheetViews>
    <sheetView topLeftCell="A10" workbookViewId="0">
      <selection activeCell="D22" sqref="D22"/>
    </sheetView>
  </sheetViews>
  <sheetFormatPr defaultRowHeight="15" x14ac:dyDescent="0.25"/>
  <cols>
    <col min="1" max="1" width="31.7109375" customWidth="1"/>
    <col min="6" max="6" width="14.140625" customWidth="1"/>
    <col min="7" max="7" width="14.5703125" customWidth="1"/>
    <col min="8" max="8" width="13" customWidth="1"/>
  </cols>
  <sheetData>
    <row r="1" spans="1:8" x14ac:dyDescent="0.25">
      <c r="B1" s="7" t="s">
        <v>40</v>
      </c>
      <c r="C1" s="7" t="s">
        <v>41</v>
      </c>
      <c r="D1" s="7" t="s">
        <v>45</v>
      </c>
      <c r="F1" s="8" t="s">
        <v>43</v>
      </c>
      <c r="G1" s="8" t="s">
        <v>42</v>
      </c>
      <c r="H1" s="8" t="s">
        <v>44</v>
      </c>
    </row>
    <row r="2" spans="1:8" x14ac:dyDescent="0.25">
      <c r="A2" s="2" t="s">
        <v>19</v>
      </c>
      <c r="B2">
        <v>173</v>
      </c>
    </row>
    <row r="3" spans="1:8" x14ac:dyDescent="0.25">
      <c r="A3" s="2" t="s">
        <v>20</v>
      </c>
      <c r="B3">
        <v>92.6</v>
      </c>
      <c r="D3">
        <v>92.1</v>
      </c>
      <c r="F3">
        <f>D3-B3</f>
        <v>-0.5</v>
      </c>
      <c r="G3">
        <f>C3-B3</f>
        <v>-92.6</v>
      </c>
      <c r="H3">
        <f>D3-C3</f>
        <v>92.1</v>
      </c>
    </row>
    <row r="4" spans="1:8" x14ac:dyDescent="0.25">
      <c r="A4" s="2"/>
    </row>
    <row r="5" spans="1:8" x14ac:dyDescent="0.25">
      <c r="A5" s="2" t="s">
        <v>0</v>
      </c>
      <c r="B5">
        <v>1.01</v>
      </c>
      <c r="C5">
        <v>92.4</v>
      </c>
      <c r="D5">
        <v>1.008</v>
      </c>
    </row>
    <row r="6" spans="1:8" x14ac:dyDescent="0.25">
      <c r="A6" s="2"/>
    </row>
    <row r="7" spans="1:8" x14ac:dyDescent="0.25">
      <c r="A7" s="2"/>
    </row>
    <row r="8" spans="1:8" x14ac:dyDescent="0.25">
      <c r="A8" s="2" t="s">
        <v>1</v>
      </c>
    </row>
    <row r="9" spans="1:8" x14ac:dyDescent="0.25">
      <c r="A9" s="1" t="s">
        <v>14</v>
      </c>
      <c r="B9">
        <v>42.7</v>
      </c>
      <c r="C9">
        <v>41.6</v>
      </c>
      <c r="D9">
        <v>41.4</v>
      </c>
    </row>
    <row r="10" spans="1:8" x14ac:dyDescent="0.25">
      <c r="A10" s="1" t="s">
        <v>15</v>
      </c>
      <c r="B10">
        <v>23.2</v>
      </c>
      <c r="C10">
        <v>22.1</v>
      </c>
      <c r="D10">
        <v>23.2</v>
      </c>
    </row>
    <row r="11" spans="1:8" x14ac:dyDescent="0.25">
      <c r="A11" s="1" t="s">
        <v>16</v>
      </c>
      <c r="B11">
        <v>19.5</v>
      </c>
      <c r="C11">
        <v>19.5</v>
      </c>
      <c r="D11">
        <v>18.2</v>
      </c>
    </row>
    <row r="12" spans="1:8" x14ac:dyDescent="0.25">
      <c r="A12" s="1" t="s">
        <v>17</v>
      </c>
      <c r="B12">
        <v>34.299999999999997</v>
      </c>
      <c r="C12">
        <v>35.6</v>
      </c>
      <c r="D12">
        <v>35.6</v>
      </c>
      <c r="F12">
        <f>D12-B12</f>
        <v>1.3000000000000043</v>
      </c>
      <c r="G12">
        <f t="shared" ref="G12:H14" si="0">C12-B12</f>
        <v>1.3000000000000043</v>
      </c>
      <c r="H12">
        <f t="shared" si="0"/>
        <v>0</v>
      </c>
    </row>
    <row r="13" spans="1:8" x14ac:dyDescent="0.25">
      <c r="A13" s="1" t="s">
        <v>18</v>
      </c>
      <c r="B13">
        <v>58.3</v>
      </c>
      <c r="C13">
        <v>56.8</v>
      </c>
      <c r="D13">
        <v>56.5</v>
      </c>
      <c r="F13">
        <f>D13-B13</f>
        <v>-1.7999999999999972</v>
      </c>
      <c r="G13">
        <f t="shared" si="0"/>
        <v>-1.5</v>
      </c>
      <c r="H13">
        <f t="shared" si="0"/>
        <v>-0.29999999999999716</v>
      </c>
    </row>
    <row r="14" spans="1:8" x14ac:dyDescent="0.25">
      <c r="A14" s="1" t="s">
        <v>33</v>
      </c>
      <c r="B14" s="5">
        <v>0.37</v>
      </c>
      <c r="C14" s="5">
        <v>0.38500000000000001</v>
      </c>
      <c r="D14" s="5">
        <v>0.38700000000000001</v>
      </c>
      <c r="E14" s="5"/>
      <c r="F14" s="5">
        <f>D14-B14</f>
        <v>1.7000000000000015E-2</v>
      </c>
      <c r="G14" s="5">
        <f t="shared" si="0"/>
        <v>1.5000000000000013E-2</v>
      </c>
      <c r="H14" s="5">
        <f t="shared" si="0"/>
        <v>2.0000000000000018E-3</v>
      </c>
    </row>
    <row r="15" spans="1:8" x14ac:dyDescent="0.25">
      <c r="A15" s="3" t="s">
        <v>2</v>
      </c>
    </row>
    <row r="16" spans="1:8" x14ac:dyDescent="0.25">
      <c r="A16" s="1" t="s">
        <v>21</v>
      </c>
      <c r="B16">
        <v>50.45</v>
      </c>
      <c r="D16">
        <v>49.81</v>
      </c>
      <c r="F16">
        <f>D16-B16</f>
        <v>-0.64000000000000057</v>
      </c>
    </row>
    <row r="17" spans="1:8" x14ac:dyDescent="0.25">
      <c r="A17" s="1" t="s">
        <v>17</v>
      </c>
      <c r="B17">
        <v>40.229999999999997</v>
      </c>
      <c r="D17">
        <v>39</v>
      </c>
      <c r="F17">
        <f>D17-B17</f>
        <v>-1.2299999999999969</v>
      </c>
    </row>
    <row r="18" spans="1:8" x14ac:dyDescent="0.25">
      <c r="A18" s="1" t="s">
        <v>36</v>
      </c>
      <c r="B18" s="5">
        <v>0.44400000000000001</v>
      </c>
      <c r="D18" s="5">
        <v>0.439</v>
      </c>
      <c r="F18">
        <f>D18-B18</f>
        <v>-5.0000000000000044E-3</v>
      </c>
    </row>
    <row r="19" spans="1:8" x14ac:dyDescent="0.25">
      <c r="A19" s="3" t="s">
        <v>3</v>
      </c>
    </row>
    <row r="20" spans="1:8" x14ac:dyDescent="0.25">
      <c r="A20" s="4" t="s">
        <v>22</v>
      </c>
      <c r="B20">
        <v>2.12</v>
      </c>
      <c r="D20">
        <v>2.06</v>
      </c>
      <c r="F20">
        <f>D20-B20</f>
        <v>-6.0000000000000053E-2</v>
      </c>
    </row>
    <row r="21" spans="1:8" x14ac:dyDescent="0.25">
      <c r="A21" s="4" t="s">
        <v>4</v>
      </c>
      <c r="B21">
        <v>20.7</v>
      </c>
      <c r="D21">
        <v>21.4</v>
      </c>
      <c r="F21">
        <f>D21-B21</f>
        <v>0.69999999999999929</v>
      </c>
    </row>
    <row r="23" spans="1:8" x14ac:dyDescent="0.25">
      <c r="A23" s="2" t="s">
        <v>5</v>
      </c>
    </row>
    <row r="24" spans="1:8" x14ac:dyDescent="0.25">
      <c r="A24" s="1" t="s">
        <v>23</v>
      </c>
      <c r="B24">
        <v>108.9</v>
      </c>
      <c r="C24">
        <v>103.5</v>
      </c>
      <c r="D24">
        <v>125.7</v>
      </c>
      <c r="F24">
        <f>D24-B24</f>
        <v>16.799999999999997</v>
      </c>
      <c r="G24">
        <f t="shared" ref="G24:H27" si="1">C24-B24</f>
        <v>-5.4000000000000057</v>
      </c>
      <c r="H24">
        <f t="shared" si="1"/>
        <v>22.200000000000003</v>
      </c>
    </row>
    <row r="25" spans="1:8" x14ac:dyDescent="0.25">
      <c r="A25" s="1" t="s">
        <v>24</v>
      </c>
      <c r="B25">
        <v>42.6</v>
      </c>
      <c r="C25">
        <v>37.5</v>
      </c>
      <c r="D25">
        <v>52.2</v>
      </c>
      <c r="F25">
        <f>D25-B25</f>
        <v>9.6000000000000014</v>
      </c>
      <c r="G25">
        <f t="shared" si="1"/>
        <v>-5.1000000000000014</v>
      </c>
      <c r="H25">
        <f t="shared" si="1"/>
        <v>14.700000000000003</v>
      </c>
    </row>
    <row r="26" spans="1:8" x14ac:dyDescent="0.25">
      <c r="A26" s="1" t="s">
        <v>25</v>
      </c>
      <c r="B26">
        <v>69</v>
      </c>
      <c r="C26">
        <v>75.400000000000006</v>
      </c>
      <c r="D26">
        <v>120.5</v>
      </c>
      <c r="F26">
        <f>D26-B26</f>
        <v>51.5</v>
      </c>
      <c r="G26">
        <f t="shared" si="1"/>
        <v>6.4000000000000057</v>
      </c>
      <c r="H26">
        <f t="shared" si="1"/>
        <v>45.099999999999994</v>
      </c>
    </row>
    <row r="27" spans="1:8" x14ac:dyDescent="0.25">
      <c r="A27" s="1" t="s">
        <v>26</v>
      </c>
      <c r="B27">
        <v>28.7</v>
      </c>
      <c r="C27">
        <v>33.1</v>
      </c>
      <c r="D27">
        <v>50</v>
      </c>
      <c r="F27">
        <f>D27-B27</f>
        <v>21.3</v>
      </c>
      <c r="G27">
        <f t="shared" si="1"/>
        <v>4.4000000000000021</v>
      </c>
      <c r="H27">
        <f t="shared" si="1"/>
        <v>16.899999999999999</v>
      </c>
    </row>
    <row r="29" spans="1:8" x14ac:dyDescent="0.25">
      <c r="A29" s="2" t="s">
        <v>6</v>
      </c>
      <c r="B29" t="s">
        <v>32</v>
      </c>
    </row>
    <row r="30" spans="1:8" x14ac:dyDescent="0.25">
      <c r="A30" s="2" t="s">
        <v>47</v>
      </c>
      <c r="B30" t="s">
        <v>29</v>
      </c>
    </row>
    <row r="31" spans="1:8" x14ac:dyDescent="0.25">
      <c r="A31" s="2" t="s">
        <v>48</v>
      </c>
      <c r="B31" t="s">
        <v>29</v>
      </c>
    </row>
    <row r="32" spans="1:8" x14ac:dyDescent="0.25">
      <c r="A32" s="2" t="s">
        <v>49</v>
      </c>
      <c r="B32" t="s">
        <v>29</v>
      </c>
    </row>
    <row r="33" spans="1:2" x14ac:dyDescent="0.25">
      <c r="A33" s="2" t="s">
        <v>50</v>
      </c>
    </row>
    <row r="34" spans="1:2" x14ac:dyDescent="0.25">
      <c r="A34" s="2" t="s">
        <v>9</v>
      </c>
      <c r="B34" t="s">
        <v>29</v>
      </c>
    </row>
    <row r="35" spans="1:2" x14ac:dyDescent="0.25">
      <c r="A35" s="2" t="s">
        <v>10</v>
      </c>
      <c r="B35" t="s">
        <v>29</v>
      </c>
    </row>
    <row r="36" spans="1:2" x14ac:dyDescent="0.25">
      <c r="A36" s="2" t="s">
        <v>11</v>
      </c>
      <c r="B36" t="s">
        <v>29</v>
      </c>
    </row>
    <row r="37" spans="1:2" x14ac:dyDescent="0.25">
      <c r="A37" s="2" t="s">
        <v>52</v>
      </c>
      <c r="B37" t="s">
        <v>29</v>
      </c>
    </row>
    <row r="38" spans="1:2" x14ac:dyDescent="0.25">
      <c r="A38" s="2" t="s">
        <v>12</v>
      </c>
      <c r="B38" t="s">
        <v>29</v>
      </c>
    </row>
    <row r="39" spans="1:2" x14ac:dyDescent="0.25">
      <c r="A39" s="2" t="s">
        <v>51</v>
      </c>
      <c r="B39" t="s">
        <v>29</v>
      </c>
    </row>
    <row r="40" spans="1:2" x14ac:dyDescent="0.25">
      <c r="A40" s="2" t="s">
        <v>46</v>
      </c>
      <c r="B40" t="s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0"/>
  <sheetViews>
    <sheetView topLeftCell="A10" workbookViewId="0">
      <selection activeCell="D22" sqref="D22"/>
    </sheetView>
  </sheetViews>
  <sheetFormatPr defaultRowHeight="15" x14ac:dyDescent="0.25"/>
  <cols>
    <col min="1" max="1" width="31.7109375" customWidth="1"/>
    <col min="6" max="6" width="14" customWidth="1"/>
    <col min="7" max="7" width="14.140625" customWidth="1"/>
    <col min="8" max="8" width="13" customWidth="1"/>
  </cols>
  <sheetData>
    <row r="1" spans="1:8" x14ac:dyDescent="0.25">
      <c r="B1" s="7" t="s">
        <v>40</v>
      </c>
      <c r="C1" s="7" t="s">
        <v>41</v>
      </c>
      <c r="D1" s="7" t="s">
        <v>45</v>
      </c>
      <c r="F1" s="8" t="s">
        <v>43</v>
      </c>
      <c r="G1" s="8" t="s">
        <v>42</v>
      </c>
      <c r="H1" s="8" t="s">
        <v>44</v>
      </c>
    </row>
    <row r="2" spans="1:8" x14ac:dyDescent="0.25">
      <c r="A2" s="2" t="s">
        <v>19</v>
      </c>
      <c r="B2">
        <v>175</v>
      </c>
    </row>
    <row r="3" spans="1:8" x14ac:dyDescent="0.25">
      <c r="A3" s="2" t="s">
        <v>20</v>
      </c>
      <c r="B3">
        <v>133.4</v>
      </c>
      <c r="C3">
        <v>131.4</v>
      </c>
      <c r="D3">
        <v>123.7</v>
      </c>
      <c r="F3">
        <f>D3-B3</f>
        <v>-9.7000000000000028</v>
      </c>
      <c r="G3">
        <f>C3-B3</f>
        <v>-2</v>
      </c>
      <c r="H3">
        <f>D3-C3</f>
        <v>-7.7000000000000028</v>
      </c>
    </row>
    <row r="4" spans="1:8" x14ac:dyDescent="0.25">
      <c r="A4" s="2"/>
    </row>
    <row r="5" spans="1:8" x14ac:dyDescent="0.25">
      <c r="A5" s="2" t="s">
        <v>0</v>
      </c>
      <c r="B5">
        <v>1.0109999999999999</v>
      </c>
      <c r="C5">
        <v>1.01</v>
      </c>
      <c r="D5">
        <v>1.01</v>
      </c>
    </row>
    <row r="6" spans="1:8" x14ac:dyDescent="0.25">
      <c r="A6" s="2"/>
    </row>
    <row r="7" spans="1:8" x14ac:dyDescent="0.25">
      <c r="A7" s="2"/>
    </row>
    <row r="8" spans="1:8" x14ac:dyDescent="0.25">
      <c r="A8" s="2" t="s">
        <v>1</v>
      </c>
    </row>
    <row r="9" spans="1:8" x14ac:dyDescent="0.25">
      <c r="A9" s="1" t="s">
        <v>14</v>
      </c>
      <c r="B9">
        <v>52.7</v>
      </c>
      <c r="C9">
        <v>53.3</v>
      </c>
      <c r="D9">
        <v>51.6</v>
      </c>
    </row>
    <row r="10" spans="1:8" x14ac:dyDescent="0.25">
      <c r="A10" s="1" t="s">
        <v>15</v>
      </c>
      <c r="B10">
        <v>26.3</v>
      </c>
      <c r="C10">
        <v>27.1</v>
      </c>
      <c r="D10">
        <v>26.5</v>
      </c>
    </row>
    <row r="11" spans="1:8" x14ac:dyDescent="0.25">
      <c r="A11" s="1" t="s">
        <v>16</v>
      </c>
      <c r="B11">
        <v>26.4</v>
      </c>
      <c r="C11">
        <v>26.1</v>
      </c>
      <c r="D11">
        <v>25.1</v>
      </c>
    </row>
    <row r="12" spans="1:8" x14ac:dyDescent="0.25">
      <c r="A12" s="1" t="s">
        <v>17</v>
      </c>
      <c r="B12">
        <v>61.5</v>
      </c>
      <c r="C12">
        <v>58.5</v>
      </c>
      <c r="D12">
        <v>53.2</v>
      </c>
      <c r="F12">
        <f>D12-B12</f>
        <v>-8.2999999999999972</v>
      </c>
      <c r="G12">
        <f t="shared" ref="G12:H14" si="0">C12-B12</f>
        <v>-3</v>
      </c>
      <c r="H12">
        <f t="shared" si="0"/>
        <v>-5.2999999999999972</v>
      </c>
    </row>
    <row r="13" spans="1:8" x14ac:dyDescent="0.25">
      <c r="A13" s="1" t="s">
        <v>18</v>
      </c>
      <c r="B13">
        <v>71.900000000000006</v>
      </c>
      <c r="C13">
        <v>72.900000000000006</v>
      </c>
      <c r="D13">
        <v>70.5</v>
      </c>
      <c r="F13">
        <f>D13-B13</f>
        <v>-1.4000000000000057</v>
      </c>
      <c r="G13">
        <f t="shared" si="0"/>
        <v>1</v>
      </c>
      <c r="H13">
        <f t="shared" si="0"/>
        <v>-2.4000000000000057</v>
      </c>
    </row>
    <row r="14" spans="1:8" x14ac:dyDescent="0.25">
      <c r="A14" s="1" t="s">
        <v>37</v>
      </c>
      <c r="B14" s="5">
        <v>0.46100000000000002</v>
      </c>
      <c r="C14">
        <v>44.5</v>
      </c>
      <c r="D14" s="5">
        <v>0.43</v>
      </c>
      <c r="F14" s="5">
        <f>D14-B14</f>
        <v>-3.1000000000000028E-2</v>
      </c>
      <c r="G14">
        <f t="shared" si="0"/>
        <v>44.039000000000001</v>
      </c>
      <c r="H14">
        <f t="shared" si="0"/>
        <v>-44.07</v>
      </c>
    </row>
    <row r="15" spans="1:8" x14ac:dyDescent="0.25">
      <c r="A15" s="3" t="s">
        <v>2</v>
      </c>
    </row>
    <row r="16" spans="1:8" x14ac:dyDescent="0.25">
      <c r="A16" s="1" t="s">
        <v>21</v>
      </c>
      <c r="B16">
        <v>70.099999999999994</v>
      </c>
      <c r="D16">
        <v>69.27</v>
      </c>
      <c r="F16">
        <f>D16-B16</f>
        <v>-0.82999999999999829</v>
      </c>
    </row>
    <row r="17" spans="1:8" x14ac:dyDescent="0.25">
      <c r="A17" s="1" t="s">
        <v>17</v>
      </c>
      <c r="B17">
        <v>58.2</v>
      </c>
      <c r="D17">
        <v>56.45</v>
      </c>
      <c r="F17">
        <f>D17-B17</f>
        <v>-1.75</v>
      </c>
    </row>
    <row r="18" spans="1:8" x14ac:dyDescent="0.25">
      <c r="A18" s="1" t="s">
        <v>37</v>
      </c>
      <c r="B18" s="5">
        <v>0.45400000000000001</v>
      </c>
      <c r="D18" s="5">
        <v>0.44900000000000001</v>
      </c>
      <c r="F18">
        <f>D18-B18</f>
        <v>-5.0000000000000044E-3</v>
      </c>
    </row>
    <row r="19" spans="1:8" x14ac:dyDescent="0.25">
      <c r="A19" s="3" t="s">
        <v>3</v>
      </c>
    </row>
    <row r="20" spans="1:8" x14ac:dyDescent="0.25">
      <c r="A20" s="4" t="s">
        <v>22</v>
      </c>
      <c r="B20">
        <v>2.74</v>
      </c>
      <c r="D20">
        <v>2.35</v>
      </c>
      <c r="F20">
        <f>D20-B20</f>
        <v>-0.39000000000000012</v>
      </c>
    </row>
    <row r="21" spans="1:8" x14ac:dyDescent="0.25">
      <c r="A21" s="4" t="s">
        <v>4</v>
      </c>
      <c r="B21">
        <v>19.5</v>
      </c>
      <c r="D21">
        <v>14.6</v>
      </c>
      <c r="F21">
        <f>D21-B21</f>
        <v>-4.9000000000000004</v>
      </c>
    </row>
    <row r="23" spans="1:8" x14ac:dyDescent="0.25">
      <c r="A23" s="2" t="s">
        <v>5</v>
      </c>
    </row>
    <row r="24" spans="1:8" x14ac:dyDescent="0.25">
      <c r="A24" s="1" t="s">
        <v>23</v>
      </c>
      <c r="B24">
        <v>174.2</v>
      </c>
      <c r="C24">
        <v>195.8</v>
      </c>
      <c r="D24">
        <v>179.9</v>
      </c>
      <c r="F24">
        <f>D24-B24</f>
        <v>5.7000000000000171</v>
      </c>
      <c r="G24">
        <f t="shared" ref="G24:H27" si="1">C24-B24</f>
        <v>21.600000000000023</v>
      </c>
      <c r="H24">
        <f t="shared" si="1"/>
        <v>-15.900000000000006</v>
      </c>
    </row>
    <row r="25" spans="1:8" x14ac:dyDescent="0.25">
      <c r="A25" s="1" t="s">
        <v>24</v>
      </c>
      <c r="B25">
        <v>67.599999999999994</v>
      </c>
      <c r="C25">
        <v>90.9</v>
      </c>
      <c r="D25">
        <v>87.7</v>
      </c>
      <c r="F25">
        <f>D25-B25</f>
        <v>20.100000000000009</v>
      </c>
      <c r="G25">
        <f t="shared" si="1"/>
        <v>23.300000000000011</v>
      </c>
      <c r="H25">
        <f t="shared" si="1"/>
        <v>-3.2000000000000028</v>
      </c>
    </row>
    <row r="26" spans="1:8" x14ac:dyDescent="0.25">
      <c r="A26" s="1" t="s">
        <v>25</v>
      </c>
      <c r="B26">
        <v>146.69999999999999</v>
      </c>
      <c r="C26">
        <v>145.80000000000001</v>
      </c>
      <c r="D26">
        <v>140</v>
      </c>
      <c r="F26">
        <f>D26-B26</f>
        <v>-6.6999999999999886</v>
      </c>
      <c r="G26">
        <f t="shared" si="1"/>
        <v>-0.89999999999997726</v>
      </c>
      <c r="H26">
        <f t="shared" si="1"/>
        <v>-5.8000000000000114</v>
      </c>
    </row>
    <row r="27" spans="1:8" x14ac:dyDescent="0.25">
      <c r="A27" s="1" t="s">
        <v>26</v>
      </c>
      <c r="B27">
        <v>84.7</v>
      </c>
      <c r="C27">
        <v>64.400000000000006</v>
      </c>
      <c r="D27">
        <v>69.099999999999994</v>
      </c>
      <c r="F27">
        <f>D27-B27</f>
        <v>-15.600000000000009</v>
      </c>
      <c r="G27">
        <f t="shared" si="1"/>
        <v>-20.299999999999997</v>
      </c>
      <c r="H27">
        <f t="shared" si="1"/>
        <v>4.6999999999999886</v>
      </c>
    </row>
    <row r="29" spans="1:8" x14ac:dyDescent="0.25">
      <c r="A29" s="2" t="s">
        <v>6</v>
      </c>
      <c r="B29" t="s">
        <v>32</v>
      </c>
    </row>
    <row r="30" spans="1:8" x14ac:dyDescent="0.25">
      <c r="A30" s="2" t="s">
        <v>47</v>
      </c>
      <c r="B30" t="s">
        <v>29</v>
      </c>
    </row>
    <row r="31" spans="1:8" x14ac:dyDescent="0.25">
      <c r="A31" s="2" t="s">
        <v>48</v>
      </c>
      <c r="B31" t="s">
        <v>29</v>
      </c>
    </row>
    <row r="32" spans="1:8" x14ac:dyDescent="0.25">
      <c r="A32" s="2" t="s">
        <v>49</v>
      </c>
      <c r="B32" t="s">
        <v>29</v>
      </c>
    </row>
    <row r="33" spans="1:2" x14ac:dyDescent="0.25">
      <c r="A33" s="2" t="s">
        <v>50</v>
      </c>
      <c r="B33" t="s">
        <v>29</v>
      </c>
    </row>
    <row r="34" spans="1:2" x14ac:dyDescent="0.25">
      <c r="A34" s="2" t="s">
        <v>9</v>
      </c>
      <c r="B34" t="s">
        <v>29</v>
      </c>
    </row>
    <row r="35" spans="1:2" x14ac:dyDescent="0.25">
      <c r="A35" s="2" t="s">
        <v>10</v>
      </c>
      <c r="B35" t="s">
        <v>29</v>
      </c>
    </row>
    <row r="36" spans="1:2" x14ac:dyDescent="0.25">
      <c r="A36" s="2" t="s">
        <v>11</v>
      </c>
      <c r="B36" t="s">
        <v>29</v>
      </c>
    </row>
    <row r="37" spans="1:2" x14ac:dyDescent="0.25">
      <c r="A37" s="2" t="s">
        <v>52</v>
      </c>
      <c r="B37" t="s">
        <v>29</v>
      </c>
    </row>
    <row r="38" spans="1:2" x14ac:dyDescent="0.25">
      <c r="A38" s="2" t="s">
        <v>12</v>
      </c>
      <c r="B38" t="s">
        <v>29</v>
      </c>
    </row>
    <row r="39" spans="1:2" x14ac:dyDescent="0.25">
      <c r="A39" s="2" t="s">
        <v>51</v>
      </c>
      <c r="B39" t="s">
        <v>29</v>
      </c>
    </row>
    <row r="40" spans="1:2" x14ac:dyDescent="0.25">
      <c r="A40" s="2" t="s">
        <v>46</v>
      </c>
      <c r="B40" t="s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0"/>
  <sheetViews>
    <sheetView topLeftCell="A13" workbookViewId="0">
      <selection activeCell="D22" sqref="D22"/>
    </sheetView>
  </sheetViews>
  <sheetFormatPr defaultRowHeight="15" x14ac:dyDescent="0.25"/>
  <cols>
    <col min="1" max="1" width="31.7109375" customWidth="1"/>
    <col min="6" max="7" width="13.85546875" customWidth="1"/>
    <col min="8" max="8" width="13.140625" customWidth="1"/>
  </cols>
  <sheetData>
    <row r="1" spans="1:8" x14ac:dyDescent="0.25">
      <c r="B1" s="7" t="s">
        <v>40</v>
      </c>
      <c r="C1" s="7" t="s">
        <v>41</v>
      </c>
      <c r="D1" s="7" t="s">
        <v>45</v>
      </c>
      <c r="F1" s="8" t="s">
        <v>43</v>
      </c>
      <c r="G1" s="8" t="s">
        <v>42</v>
      </c>
      <c r="H1" s="8" t="s">
        <v>44</v>
      </c>
    </row>
    <row r="2" spans="1:8" x14ac:dyDescent="0.25">
      <c r="A2" s="2" t="s">
        <v>19</v>
      </c>
      <c r="B2">
        <v>171</v>
      </c>
    </row>
    <row r="3" spans="1:8" x14ac:dyDescent="0.25">
      <c r="A3" s="2" t="s">
        <v>20</v>
      </c>
      <c r="B3">
        <v>110.6</v>
      </c>
      <c r="C3">
        <v>110.2</v>
      </c>
      <c r="D3">
        <v>116</v>
      </c>
      <c r="F3">
        <f>D3-B3</f>
        <v>5.4000000000000057</v>
      </c>
      <c r="G3">
        <f>C3-B3</f>
        <v>-0.39999999999999147</v>
      </c>
      <c r="H3">
        <f>D3-C3</f>
        <v>5.7999999999999972</v>
      </c>
    </row>
    <row r="4" spans="1:8" x14ac:dyDescent="0.25">
      <c r="A4" s="2"/>
    </row>
    <row r="5" spans="1:8" x14ac:dyDescent="0.25">
      <c r="A5" s="2" t="s">
        <v>0</v>
      </c>
      <c r="B5">
        <v>1.0269999999999999</v>
      </c>
      <c r="C5">
        <v>1.028</v>
      </c>
      <c r="D5">
        <v>1.0169999999999999</v>
      </c>
    </row>
    <row r="6" spans="1:8" x14ac:dyDescent="0.25">
      <c r="A6" s="2"/>
    </row>
    <row r="7" spans="1:8" x14ac:dyDescent="0.25">
      <c r="A7" s="2"/>
    </row>
    <row r="8" spans="1:8" x14ac:dyDescent="0.25">
      <c r="A8" s="2" t="s">
        <v>1</v>
      </c>
    </row>
    <row r="9" spans="1:8" x14ac:dyDescent="0.25">
      <c r="A9" s="1" t="s">
        <v>14</v>
      </c>
      <c r="B9">
        <v>56.2</v>
      </c>
      <c r="C9">
        <v>56.3</v>
      </c>
      <c r="D9">
        <v>58.2</v>
      </c>
    </row>
    <row r="10" spans="1:8" x14ac:dyDescent="0.25">
      <c r="A10" s="1" t="s">
        <v>15</v>
      </c>
      <c r="B10">
        <v>28.5</v>
      </c>
      <c r="C10">
        <v>29.2</v>
      </c>
      <c r="D10">
        <v>28.1</v>
      </c>
    </row>
    <row r="11" spans="1:8" x14ac:dyDescent="0.25">
      <c r="A11" s="1" t="s">
        <v>16</v>
      </c>
      <c r="B11">
        <v>27.7</v>
      </c>
      <c r="C11">
        <v>27.1</v>
      </c>
      <c r="D11">
        <v>30.1</v>
      </c>
    </row>
    <row r="12" spans="1:8" x14ac:dyDescent="0.25">
      <c r="A12" s="1" t="s">
        <v>17</v>
      </c>
      <c r="B12">
        <v>33.799999999999997</v>
      </c>
      <c r="C12">
        <v>33.299999999999997</v>
      </c>
      <c r="D12">
        <v>36.6</v>
      </c>
      <c r="F12">
        <f>D12-B12</f>
        <v>2.8000000000000043</v>
      </c>
      <c r="G12">
        <f t="shared" ref="G12:H14" si="0">C12-B12</f>
        <v>-0.5</v>
      </c>
      <c r="H12">
        <f t="shared" si="0"/>
        <v>3.3000000000000043</v>
      </c>
    </row>
    <row r="13" spans="1:8" x14ac:dyDescent="0.25">
      <c r="A13" s="1" t="s">
        <v>18</v>
      </c>
      <c r="B13">
        <v>76.8</v>
      </c>
      <c r="C13">
        <v>76.900000000000006</v>
      </c>
      <c r="D13">
        <v>79.400000000000006</v>
      </c>
      <c r="F13">
        <f>D13-B13</f>
        <v>2.6000000000000085</v>
      </c>
      <c r="G13">
        <f t="shared" si="0"/>
        <v>0.10000000000000853</v>
      </c>
      <c r="H13">
        <f t="shared" si="0"/>
        <v>2.5</v>
      </c>
    </row>
    <row r="14" spans="1:8" x14ac:dyDescent="0.25">
      <c r="A14" s="1" t="s">
        <v>38</v>
      </c>
      <c r="B14" s="5">
        <v>0.30599999999999999</v>
      </c>
      <c r="C14" s="5">
        <v>0.30199999999999999</v>
      </c>
      <c r="D14" s="5">
        <v>0.316</v>
      </c>
      <c r="F14" s="5">
        <f>D14-B14</f>
        <v>1.0000000000000009E-2</v>
      </c>
      <c r="G14">
        <f t="shared" si="0"/>
        <v>-4.0000000000000036E-3</v>
      </c>
      <c r="H14">
        <f t="shared" si="0"/>
        <v>1.4000000000000012E-2</v>
      </c>
    </row>
    <row r="15" spans="1:8" x14ac:dyDescent="0.25">
      <c r="A15" s="3" t="s">
        <v>2</v>
      </c>
    </row>
    <row r="16" spans="1:8" x14ac:dyDescent="0.25">
      <c r="A16" s="1" t="s">
        <v>21</v>
      </c>
      <c r="B16">
        <v>65.7</v>
      </c>
      <c r="D16">
        <v>70.540000000000006</v>
      </c>
      <c r="F16">
        <f>D16-B16</f>
        <v>4.8400000000000034</v>
      </c>
    </row>
    <row r="17" spans="1:8" x14ac:dyDescent="0.25">
      <c r="A17" s="1" t="s">
        <v>17</v>
      </c>
      <c r="B17">
        <v>40.799999999999997</v>
      </c>
      <c r="D17">
        <v>41.77</v>
      </c>
      <c r="F17">
        <f>D17-B17</f>
        <v>0.97000000000000597</v>
      </c>
    </row>
    <row r="18" spans="1:8" x14ac:dyDescent="0.25">
      <c r="A18" s="1" t="s">
        <v>38</v>
      </c>
      <c r="B18" s="5">
        <v>0.38300000000000001</v>
      </c>
      <c r="C18" s="5"/>
      <c r="D18" s="5">
        <v>0.372</v>
      </c>
      <c r="F18" s="5">
        <f>D18-B18</f>
        <v>-1.100000000000001E-2</v>
      </c>
    </row>
    <row r="19" spans="1:8" x14ac:dyDescent="0.25">
      <c r="A19" s="3" t="s">
        <v>3</v>
      </c>
    </row>
    <row r="20" spans="1:8" x14ac:dyDescent="0.25">
      <c r="A20" s="4" t="s">
        <v>22</v>
      </c>
      <c r="B20">
        <v>1.84</v>
      </c>
      <c r="D20">
        <v>2.29</v>
      </c>
      <c r="F20">
        <f>D20-B20</f>
        <v>0.44999999999999996</v>
      </c>
    </row>
    <row r="21" spans="1:8" x14ac:dyDescent="0.25">
      <c r="A21" s="4" t="s">
        <v>4</v>
      </c>
      <c r="B21">
        <v>16.100000000000001</v>
      </c>
      <c r="D21">
        <v>14.5</v>
      </c>
      <c r="F21">
        <f>D21-B21</f>
        <v>-1.6000000000000014</v>
      </c>
    </row>
    <row r="23" spans="1:8" x14ac:dyDescent="0.25">
      <c r="A23" s="2" t="s">
        <v>5</v>
      </c>
    </row>
    <row r="24" spans="1:8" x14ac:dyDescent="0.25">
      <c r="A24" s="1" t="s">
        <v>23</v>
      </c>
      <c r="B24">
        <v>158.69999999999999</v>
      </c>
      <c r="C24">
        <v>180.6</v>
      </c>
      <c r="D24">
        <v>168.6</v>
      </c>
      <c r="F24">
        <f>D24-B24</f>
        <v>9.9000000000000057</v>
      </c>
      <c r="G24">
        <f t="shared" ref="G24:H27" si="1">C24-B24</f>
        <v>21.900000000000006</v>
      </c>
      <c r="H24">
        <f t="shared" si="1"/>
        <v>-12</v>
      </c>
    </row>
    <row r="25" spans="1:8" x14ac:dyDescent="0.25">
      <c r="A25" s="1" t="s">
        <v>24</v>
      </c>
      <c r="B25">
        <v>48.8</v>
      </c>
      <c r="C25">
        <v>72.400000000000006</v>
      </c>
      <c r="D25">
        <v>76</v>
      </c>
      <c r="F25">
        <f>D25-B25</f>
        <v>27.200000000000003</v>
      </c>
      <c r="G25">
        <f t="shared" si="1"/>
        <v>23.600000000000009</v>
      </c>
      <c r="H25">
        <f t="shared" si="1"/>
        <v>3.5999999999999943</v>
      </c>
    </row>
    <row r="26" spans="1:8" x14ac:dyDescent="0.25">
      <c r="A26" s="1" t="s">
        <v>25</v>
      </c>
      <c r="B26">
        <v>135.9</v>
      </c>
      <c r="C26">
        <v>132.80000000000001</v>
      </c>
      <c r="D26">
        <v>128.4</v>
      </c>
      <c r="F26">
        <f>D26-B26</f>
        <v>-7.5</v>
      </c>
      <c r="G26">
        <f t="shared" si="1"/>
        <v>-3.0999999999999943</v>
      </c>
      <c r="H26">
        <f t="shared" si="1"/>
        <v>-4.4000000000000057</v>
      </c>
    </row>
    <row r="27" spans="1:8" x14ac:dyDescent="0.25">
      <c r="A27" s="1" t="s">
        <v>26</v>
      </c>
      <c r="B27">
        <v>50.6</v>
      </c>
      <c r="C27">
        <v>71</v>
      </c>
      <c r="D27">
        <v>66.400000000000006</v>
      </c>
      <c r="F27">
        <f>D27-B27</f>
        <v>15.800000000000004</v>
      </c>
      <c r="G27">
        <f t="shared" si="1"/>
        <v>20.399999999999999</v>
      </c>
      <c r="H27">
        <f t="shared" si="1"/>
        <v>-4.5999999999999943</v>
      </c>
    </row>
    <row r="29" spans="1:8" x14ac:dyDescent="0.25">
      <c r="A29" s="2" t="s">
        <v>6</v>
      </c>
      <c r="B29" t="s">
        <v>32</v>
      </c>
    </row>
    <row r="30" spans="1:8" x14ac:dyDescent="0.25">
      <c r="A30" s="2" t="s">
        <v>47</v>
      </c>
      <c r="B30" t="s">
        <v>29</v>
      </c>
    </row>
    <row r="31" spans="1:8" x14ac:dyDescent="0.25">
      <c r="A31" s="2" t="s">
        <v>48</v>
      </c>
      <c r="B31" t="s">
        <v>29</v>
      </c>
    </row>
    <row r="32" spans="1:8" x14ac:dyDescent="0.25">
      <c r="A32" s="2" t="s">
        <v>49</v>
      </c>
      <c r="B32" t="s">
        <v>29</v>
      </c>
    </row>
    <row r="33" spans="1:2" x14ac:dyDescent="0.25">
      <c r="A33" s="2" t="s">
        <v>50</v>
      </c>
      <c r="B33" t="s">
        <v>29</v>
      </c>
    </row>
    <row r="34" spans="1:2" x14ac:dyDescent="0.25">
      <c r="A34" s="2" t="s">
        <v>9</v>
      </c>
      <c r="B34" t="s">
        <v>29</v>
      </c>
    </row>
    <row r="35" spans="1:2" x14ac:dyDescent="0.25">
      <c r="A35" s="2" t="s">
        <v>10</v>
      </c>
      <c r="B35" t="s">
        <v>29</v>
      </c>
    </row>
    <row r="36" spans="1:2" x14ac:dyDescent="0.25">
      <c r="A36" s="2" t="s">
        <v>11</v>
      </c>
      <c r="B36" t="s">
        <v>29</v>
      </c>
    </row>
    <row r="37" spans="1:2" x14ac:dyDescent="0.25">
      <c r="A37" s="2" t="s">
        <v>52</v>
      </c>
      <c r="B37" t="s">
        <v>29</v>
      </c>
    </row>
    <row r="38" spans="1:2" x14ac:dyDescent="0.25">
      <c r="A38" s="2" t="s">
        <v>12</v>
      </c>
      <c r="B38" t="s">
        <v>29</v>
      </c>
    </row>
    <row r="39" spans="1:2" x14ac:dyDescent="0.25">
      <c r="A39" s="2" t="s">
        <v>51</v>
      </c>
      <c r="B39" t="s">
        <v>29</v>
      </c>
    </row>
    <row r="40" spans="1:2" x14ac:dyDescent="0.25">
      <c r="A40" s="2" t="s">
        <v>46</v>
      </c>
      <c r="B40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0"/>
  <sheetViews>
    <sheetView topLeftCell="A10" workbookViewId="0">
      <selection activeCell="D22" sqref="D22"/>
    </sheetView>
  </sheetViews>
  <sheetFormatPr defaultRowHeight="15" x14ac:dyDescent="0.25"/>
  <cols>
    <col min="1" max="1" width="31.5703125" customWidth="1"/>
    <col min="6" max="6" width="13.42578125" customWidth="1"/>
    <col min="7" max="7" width="14.140625" customWidth="1"/>
    <col min="8" max="8" width="12.85546875" customWidth="1"/>
  </cols>
  <sheetData>
    <row r="1" spans="1:8" x14ac:dyDescent="0.25">
      <c r="B1" s="7" t="s">
        <v>40</v>
      </c>
      <c r="C1" s="7" t="s">
        <v>41</v>
      </c>
      <c r="D1" s="7" t="s">
        <v>45</v>
      </c>
      <c r="F1" s="8" t="s">
        <v>43</v>
      </c>
      <c r="G1" s="8" t="s">
        <v>42</v>
      </c>
      <c r="H1" s="8" t="s">
        <v>44</v>
      </c>
    </row>
    <row r="2" spans="1:8" x14ac:dyDescent="0.25">
      <c r="A2" s="2" t="s">
        <v>19</v>
      </c>
      <c r="B2">
        <v>180</v>
      </c>
    </row>
    <row r="3" spans="1:8" x14ac:dyDescent="0.25">
      <c r="A3" s="2" t="s">
        <v>20</v>
      </c>
      <c r="B3">
        <v>93.3</v>
      </c>
      <c r="C3">
        <v>92.4</v>
      </c>
      <c r="D3">
        <v>93.9</v>
      </c>
      <c r="F3">
        <f>D3-B3</f>
        <v>0.60000000000000853</v>
      </c>
      <c r="G3">
        <f>C3-B3</f>
        <v>-0.89999999999999147</v>
      </c>
      <c r="H3">
        <f>D3-C3</f>
        <v>1.5</v>
      </c>
    </row>
    <row r="4" spans="1:8" x14ac:dyDescent="0.25">
      <c r="A4" s="2"/>
    </row>
    <row r="5" spans="1:8" x14ac:dyDescent="0.25">
      <c r="A5" s="2" t="s">
        <v>0</v>
      </c>
      <c r="C5">
        <v>1.028</v>
      </c>
      <c r="D5">
        <v>1.02</v>
      </c>
    </row>
    <row r="6" spans="1:8" x14ac:dyDescent="0.25">
      <c r="A6" s="2"/>
    </row>
    <row r="7" spans="1:8" x14ac:dyDescent="0.25">
      <c r="A7" s="2"/>
    </row>
    <row r="8" spans="1:8" x14ac:dyDescent="0.25">
      <c r="A8" s="2" t="s">
        <v>1</v>
      </c>
    </row>
    <row r="9" spans="1:8" x14ac:dyDescent="0.25">
      <c r="A9" s="1" t="s">
        <v>14</v>
      </c>
      <c r="B9">
        <v>46.7</v>
      </c>
      <c r="C9">
        <v>48</v>
      </c>
      <c r="D9">
        <v>48.7</v>
      </c>
    </row>
    <row r="10" spans="1:8" x14ac:dyDescent="0.25">
      <c r="A10" s="1" t="s">
        <v>15</v>
      </c>
      <c r="B10">
        <v>25.3</v>
      </c>
      <c r="C10">
        <v>25.5</v>
      </c>
      <c r="D10">
        <v>26</v>
      </c>
    </row>
    <row r="11" spans="1:8" x14ac:dyDescent="0.25">
      <c r="A11" s="1" t="s">
        <v>16</v>
      </c>
      <c r="B11">
        <v>21.4</v>
      </c>
      <c r="C11">
        <v>22.5</v>
      </c>
      <c r="D11">
        <v>22.7</v>
      </c>
    </row>
    <row r="12" spans="1:8" x14ac:dyDescent="0.25">
      <c r="A12" s="1" t="s">
        <v>17</v>
      </c>
      <c r="B12">
        <v>29.5</v>
      </c>
      <c r="C12">
        <v>26.9</v>
      </c>
      <c r="D12">
        <v>27.3</v>
      </c>
      <c r="F12">
        <f>D12-B12</f>
        <v>-2.1999999999999993</v>
      </c>
      <c r="G12">
        <f t="shared" ref="G12:H14" si="0">C12-B12</f>
        <v>-2.6000000000000014</v>
      </c>
      <c r="H12">
        <f t="shared" si="0"/>
        <v>0.40000000000000213</v>
      </c>
    </row>
    <row r="13" spans="1:8" x14ac:dyDescent="0.25">
      <c r="A13" s="1" t="s">
        <v>18</v>
      </c>
      <c r="B13">
        <v>63.8</v>
      </c>
      <c r="C13">
        <v>65.5</v>
      </c>
      <c r="D13">
        <v>66.599999999999994</v>
      </c>
      <c r="F13">
        <f>D13-B13</f>
        <v>2.7999999999999972</v>
      </c>
      <c r="G13">
        <f t="shared" si="0"/>
        <v>1.7000000000000028</v>
      </c>
      <c r="H13">
        <f t="shared" si="0"/>
        <v>1.0999999999999943</v>
      </c>
    </row>
    <row r="14" spans="1:8" x14ac:dyDescent="0.25">
      <c r="A14" s="1" t="s">
        <v>38</v>
      </c>
      <c r="B14" s="5">
        <v>0.316</v>
      </c>
      <c r="C14" s="5">
        <v>0.29099999999999998</v>
      </c>
      <c r="D14" s="5">
        <v>0.29099999999999998</v>
      </c>
      <c r="E14" s="5"/>
      <c r="F14" s="5">
        <f>D14-B14</f>
        <v>-2.5000000000000022E-2</v>
      </c>
      <c r="G14" s="5">
        <f t="shared" si="0"/>
        <v>-2.5000000000000022E-2</v>
      </c>
      <c r="H14" s="5">
        <f t="shared" si="0"/>
        <v>0</v>
      </c>
    </row>
    <row r="15" spans="1:8" x14ac:dyDescent="0.25">
      <c r="A15" s="3" t="s">
        <v>2</v>
      </c>
    </row>
    <row r="16" spans="1:8" x14ac:dyDescent="0.25">
      <c r="A16" s="1" t="s">
        <v>21</v>
      </c>
      <c r="B16">
        <v>58.95</v>
      </c>
      <c r="D16">
        <v>61.13</v>
      </c>
      <c r="F16">
        <f>D16-B16</f>
        <v>2.1799999999999997</v>
      </c>
    </row>
    <row r="17" spans="1:8" x14ac:dyDescent="0.25">
      <c r="A17" s="1" t="s">
        <v>17</v>
      </c>
      <c r="B17">
        <v>31.3</v>
      </c>
      <c r="D17">
        <v>29.18</v>
      </c>
      <c r="F17">
        <f>D17-B17</f>
        <v>-2.120000000000001</v>
      </c>
    </row>
    <row r="18" spans="1:8" x14ac:dyDescent="0.25">
      <c r="A18" s="1" t="s">
        <v>38</v>
      </c>
      <c r="B18" s="5">
        <v>0.34599999999999997</v>
      </c>
      <c r="C18" s="5"/>
      <c r="D18" s="5">
        <v>0.32300000000000001</v>
      </c>
      <c r="E18" s="5"/>
      <c r="F18" s="5">
        <f>D18-B18</f>
        <v>-2.2999999999999965E-2</v>
      </c>
      <c r="G18" s="5"/>
      <c r="H18" s="5"/>
    </row>
    <row r="19" spans="1:8" x14ac:dyDescent="0.25">
      <c r="A19" s="3" t="s">
        <v>3</v>
      </c>
    </row>
    <row r="20" spans="1:8" x14ac:dyDescent="0.25">
      <c r="A20" s="4" t="s">
        <v>22</v>
      </c>
      <c r="B20">
        <v>1.54</v>
      </c>
      <c r="D20">
        <v>1.7</v>
      </c>
      <c r="F20">
        <f>D20-B20</f>
        <v>0.15999999999999992</v>
      </c>
    </row>
    <row r="21" spans="1:8" x14ac:dyDescent="0.25">
      <c r="A21" s="4" t="s">
        <v>4</v>
      </c>
      <c r="B21">
        <v>13.9</v>
      </c>
      <c r="D21">
        <v>17.8</v>
      </c>
      <c r="F21">
        <f>D21-B21</f>
        <v>3.9000000000000004</v>
      </c>
    </row>
    <row r="23" spans="1:8" x14ac:dyDescent="0.25">
      <c r="A23" s="2" t="s">
        <v>5</v>
      </c>
    </row>
    <row r="24" spans="1:8" x14ac:dyDescent="0.25">
      <c r="A24" s="1" t="s">
        <v>23</v>
      </c>
      <c r="B24">
        <v>171.4</v>
      </c>
      <c r="C24">
        <v>185.8</v>
      </c>
      <c r="D24">
        <v>164.6</v>
      </c>
      <c r="F24">
        <f>D24-B24</f>
        <v>-6.8000000000000114</v>
      </c>
      <c r="G24">
        <f t="shared" ref="G24:H27" si="1">C24-B24</f>
        <v>14.400000000000006</v>
      </c>
      <c r="H24">
        <f t="shared" si="1"/>
        <v>-21.200000000000017</v>
      </c>
    </row>
    <row r="25" spans="1:8" x14ac:dyDescent="0.25">
      <c r="A25" s="1" t="s">
        <v>24</v>
      </c>
      <c r="B25">
        <v>69.900000000000006</v>
      </c>
      <c r="C25">
        <v>86.8</v>
      </c>
      <c r="D25">
        <v>114.7</v>
      </c>
      <c r="F25">
        <f>D25-B25</f>
        <v>44.8</v>
      </c>
      <c r="G25">
        <f t="shared" si="1"/>
        <v>16.899999999999991</v>
      </c>
      <c r="H25">
        <f t="shared" si="1"/>
        <v>27.900000000000006</v>
      </c>
    </row>
    <row r="26" spans="1:8" x14ac:dyDescent="0.25">
      <c r="A26" s="1" t="s">
        <v>25</v>
      </c>
      <c r="B26">
        <v>140</v>
      </c>
      <c r="C26">
        <v>145.4</v>
      </c>
      <c r="D26">
        <v>132.30000000000001</v>
      </c>
      <c r="F26">
        <f>D26-B26</f>
        <v>-7.6999999999999886</v>
      </c>
      <c r="G26">
        <f t="shared" si="1"/>
        <v>5.4000000000000057</v>
      </c>
      <c r="H26">
        <f t="shared" si="1"/>
        <v>-13.099999999999994</v>
      </c>
    </row>
    <row r="27" spans="1:8" x14ac:dyDescent="0.25">
      <c r="A27" s="1" t="s">
        <v>26</v>
      </c>
      <c r="B27">
        <v>63.6</v>
      </c>
      <c r="C27">
        <v>79.099999999999994</v>
      </c>
      <c r="D27">
        <v>107</v>
      </c>
      <c r="F27">
        <f>D27-B27</f>
        <v>43.4</v>
      </c>
      <c r="G27">
        <f t="shared" si="1"/>
        <v>15.499999999999993</v>
      </c>
      <c r="H27">
        <f t="shared" si="1"/>
        <v>27.900000000000006</v>
      </c>
    </row>
    <row r="29" spans="1:8" x14ac:dyDescent="0.25">
      <c r="A29" s="2" t="s">
        <v>6</v>
      </c>
      <c r="B29" t="s">
        <v>39</v>
      </c>
    </row>
    <row r="30" spans="1:8" x14ac:dyDescent="0.25">
      <c r="A30" s="2" t="s">
        <v>47</v>
      </c>
      <c r="B30" t="s">
        <v>29</v>
      </c>
    </row>
    <row r="31" spans="1:8" x14ac:dyDescent="0.25">
      <c r="A31" s="2" t="s">
        <v>48</v>
      </c>
      <c r="B31" t="s">
        <v>29</v>
      </c>
    </row>
    <row r="32" spans="1:8" x14ac:dyDescent="0.25">
      <c r="A32" s="2" t="s">
        <v>49</v>
      </c>
      <c r="B32" t="s">
        <v>29</v>
      </c>
    </row>
    <row r="33" spans="1:2" x14ac:dyDescent="0.25">
      <c r="A33" s="2" t="s">
        <v>50</v>
      </c>
      <c r="B33" t="s">
        <v>29</v>
      </c>
    </row>
    <row r="34" spans="1:2" x14ac:dyDescent="0.25">
      <c r="A34" s="2" t="s">
        <v>9</v>
      </c>
      <c r="B34" t="s">
        <v>29</v>
      </c>
    </row>
    <row r="35" spans="1:2" x14ac:dyDescent="0.25">
      <c r="A35" s="2" t="s">
        <v>10</v>
      </c>
      <c r="B35" t="s">
        <v>29</v>
      </c>
    </row>
    <row r="36" spans="1:2" x14ac:dyDescent="0.25">
      <c r="A36" s="2" t="s">
        <v>11</v>
      </c>
      <c r="B36" t="s">
        <v>29</v>
      </c>
    </row>
    <row r="37" spans="1:2" x14ac:dyDescent="0.25">
      <c r="A37" s="2" t="s">
        <v>52</v>
      </c>
      <c r="B37" t="s">
        <v>29</v>
      </c>
    </row>
    <row r="38" spans="1:2" x14ac:dyDescent="0.25">
      <c r="A38" s="2" t="s">
        <v>12</v>
      </c>
      <c r="B38" t="s">
        <v>29</v>
      </c>
    </row>
    <row r="39" spans="1:2" x14ac:dyDescent="0.25">
      <c r="A39" s="2" t="s">
        <v>51</v>
      </c>
      <c r="B39" t="s">
        <v>29</v>
      </c>
    </row>
    <row r="40" spans="1:2" x14ac:dyDescent="0.25">
      <c r="A40" s="2" t="s">
        <v>46</v>
      </c>
      <c r="B40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0"/>
  <sheetViews>
    <sheetView workbookViewId="0">
      <selection activeCell="D22" sqref="D22"/>
    </sheetView>
  </sheetViews>
  <sheetFormatPr defaultRowHeight="15" x14ac:dyDescent="0.25"/>
  <cols>
    <col min="1" max="1" width="32.5703125" customWidth="1"/>
    <col min="6" max="6" width="13.5703125" customWidth="1"/>
    <col min="7" max="7" width="14" customWidth="1"/>
    <col min="8" max="8" width="12.85546875" customWidth="1"/>
  </cols>
  <sheetData>
    <row r="1" spans="1:8" x14ac:dyDescent="0.25">
      <c r="B1" s="7" t="s">
        <v>40</v>
      </c>
      <c r="C1" s="7" t="s">
        <v>41</v>
      </c>
      <c r="D1" s="7" t="s">
        <v>45</v>
      </c>
      <c r="F1" s="8" t="s">
        <v>43</v>
      </c>
      <c r="G1" s="8" t="s">
        <v>42</v>
      </c>
      <c r="H1" s="8" t="s">
        <v>44</v>
      </c>
    </row>
    <row r="2" spans="1:8" x14ac:dyDescent="0.25">
      <c r="A2" s="2" t="s">
        <v>19</v>
      </c>
      <c r="B2">
        <v>186</v>
      </c>
    </row>
    <row r="3" spans="1:8" x14ac:dyDescent="0.25">
      <c r="A3" s="2" t="s">
        <v>20</v>
      </c>
      <c r="B3">
        <v>99</v>
      </c>
      <c r="C3">
        <v>99.4</v>
      </c>
      <c r="D3">
        <v>99.9</v>
      </c>
      <c r="F3">
        <f>D3-B3</f>
        <v>0.90000000000000568</v>
      </c>
      <c r="G3">
        <f>C3-B3</f>
        <v>0.40000000000000568</v>
      </c>
      <c r="H3">
        <f>D3-C3</f>
        <v>0.5</v>
      </c>
    </row>
    <row r="4" spans="1:8" x14ac:dyDescent="0.25">
      <c r="A4" s="2"/>
    </row>
    <row r="5" spans="1:8" x14ac:dyDescent="0.25">
      <c r="A5" s="2" t="s">
        <v>0</v>
      </c>
      <c r="B5">
        <v>1.0169999999999999</v>
      </c>
      <c r="C5">
        <v>1.016</v>
      </c>
      <c r="D5">
        <v>1.0169999999999999</v>
      </c>
    </row>
    <row r="6" spans="1:8" x14ac:dyDescent="0.25">
      <c r="A6" s="2"/>
    </row>
    <row r="7" spans="1:8" x14ac:dyDescent="0.25">
      <c r="A7" s="2"/>
    </row>
    <row r="8" spans="1:8" x14ac:dyDescent="0.25">
      <c r="A8" s="2" t="s">
        <v>1</v>
      </c>
    </row>
    <row r="9" spans="1:8" x14ac:dyDescent="0.25">
      <c r="A9" s="1" t="s">
        <v>14</v>
      </c>
      <c r="B9">
        <v>53.6</v>
      </c>
      <c r="C9">
        <v>52.5</v>
      </c>
      <c r="D9">
        <v>53.9</v>
      </c>
    </row>
    <row r="10" spans="1:8" x14ac:dyDescent="0.25">
      <c r="A10" s="1" t="s">
        <v>15</v>
      </c>
      <c r="B10">
        <v>27.5</v>
      </c>
      <c r="C10">
        <v>26.3</v>
      </c>
      <c r="D10">
        <v>28.4</v>
      </c>
    </row>
    <row r="11" spans="1:8" x14ac:dyDescent="0.25">
      <c r="A11" s="1" t="s">
        <v>16</v>
      </c>
      <c r="B11">
        <v>26.1</v>
      </c>
      <c r="C11">
        <v>26.2</v>
      </c>
      <c r="D11">
        <v>25.5</v>
      </c>
    </row>
    <row r="12" spans="1:8" x14ac:dyDescent="0.25">
      <c r="A12" s="1" t="s">
        <v>17</v>
      </c>
      <c r="B12">
        <v>25.8</v>
      </c>
      <c r="C12">
        <v>27.7</v>
      </c>
      <c r="D12">
        <v>26.2</v>
      </c>
      <c r="F12">
        <f>D12-B12</f>
        <v>0.39999999999999858</v>
      </c>
      <c r="G12">
        <f t="shared" ref="G12:H14" si="0">C12-B12</f>
        <v>1.8999999999999986</v>
      </c>
      <c r="H12">
        <f t="shared" si="0"/>
        <v>-1.5</v>
      </c>
    </row>
    <row r="13" spans="1:8" x14ac:dyDescent="0.25">
      <c r="A13" s="1" t="s">
        <v>18</v>
      </c>
      <c r="B13">
        <v>73.2</v>
      </c>
      <c r="C13">
        <v>71.7</v>
      </c>
      <c r="D13">
        <v>73.7</v>
      </c>
      <c r="F13">
        <f>D13-B13</f>
        <v>0.5</v>
      </c>
      <c r="G13">
        <f t="shared" si="0"/>
        <v>-1.5</v>
      </c>
      <c r="H13">
        <f t="shared" si="0"/>
        <v>2</v>
      </c>
    </row>
    <row r="14" spans="1:8" x14ac:dyDescent="0.25">
      <c r="A14" s="1" t="s">
        <v>37</v>
      </c>
      <c r="B14" s="5">
        <v>0.26100000000000001</v>
      </c>
      <c r="C14" s="5">
        <v>0.27900000000000003</v>
      </c>
      <c r="D14" s="5">
        <v>0.26200000000000001</v>
      </c>
      <c r="E14" s="5"/>
      <c r="F14" s="5">
        <f>D14-B14</f>
        <v>1.0000000000000009E-3</v>
      </c>
      <c r="G14" s="5">
        <f t="shared" si="0"/>
        <v>1.8000000000000016E-2</v>
      </c>
      <c r="H14" s="5">
        <f t="shared" si="0"/>
        <v>-1.7000000000000015E-2</v>
      </c>
    </row>
    <row r="15" spans="1:8" x14ac:dyDescent="0.25">
      <c r="A15" s="3" t="s">
        <v>2</v>
      </c>
    </row>
    <row r="16" spans="1:8" x14ac:dyDescent="0.25">
      <c r="A16" s="1" t="s">
        <v>21</v>
      </c>
      <c r="B16">
        <v>64.900000000000006</v>
      </c>
      <c r="D16">
        <v>65.5</v>
      </c>
      <c r="F16">
        <f>D16-B16</f>
        <v>0.59999999999999432</v>
      </c>
    </row>
    <row r="17" spans="1:8" x14ac:dyDescent="0.25">
      <c r="A17" s="1" t="s">
        <v>17</v>
      </c>
      <c r="B17">
        <v>29.4</v>
      </c>
      <c r="D17">
        <v>29.54</v>
      </c>
      <c r="F17">
        <f>D17-B17</f>
        <v>0.14000000000000057</v>
      </c>
    </row>
    <row r="18" spans="1:8" x14ac:dyDescent="0.25">
      <c r="A18" s="1" t="s">
        <v>37</v>
      </c>
      <c r="B18" s="5">
        <v>0.312</v>
      </c>
      <c r="C18" s="5"/>
      <c r="D18" s="5">
        <v>0.311</v>
      </c>
      <c r="E18" s="5"/>
      <c r="F18" s="5">
        <f>D18-B18</f>
        <v>-1.0000000000000009E-3</v>
      </c>
      <c r="G18" s="5"/>
      <c r="H18" s="5"/>
    </row>
    <row r="19" spans="1:8" x14ac:dyDescent="0.25">
      <c r="A19" s="3" t="s">
        <v>3</v>
      </c>
    </row>
    <row r="20" spans="1:8" x14ac:dyDescent="0.25">
      <c r="A20" s="4" t="s">
        <v>22</v>
      </c>
      <c r="B20">
        <v>2.12</v>
      </c>
      <c r="D20">
        <v>2.4300000000000002</v>
      </c>
      <c r="F20">
        <f>D20-B20</f>
        <v>0.31000000000000005</v>
      </c>
    </row>
    <row r="21" spans="1:8" x14ac:dyDescent="0.25">
      <c r="A21" s="4" t="s">
        <v>4</v>
      </c>
      <c r="B21">
        <v>16.3</v>
      </c>
      <c r="D21">
        <v>14.1</v>
      </c>
      <c r="F21">
        <f>D21-B21</f>
        <v>-2.2000000000000011</v>
      </c>
    </row>
    <row r="23" spans="1:8" x14ac:dyDescent="0.25">
      <c r="A23" s="2" t="s">
        <v>5</v>
      </c>
    </row>
    <row r="24" spans="1:8" x14ac:dyDescent="0.25">
      <c r="A24" s="1" t="s">
        <v>23</v>
      </c>
      <c r="B24">
        <v>157.30000000000001</v>
      </c>
      <c r="C24">
        <v>168.3</v>
      </c>
      <c r="D24">
        <v>169</v>
      </c>
      <c r="F24">
        <f>D24-B24</f>
        <v>11.699999999999989</v>
      </c>
      <c r="G24">
        <f t="shared" ref="G24:H27" si="1">C24-B24</f>
        <v>11</v>
      </c>
      <c r="H24">
        <f t="shared" si="1"/>
        <v>0.69999999999998863</v>
      </c>
    </row>
    <row r="25" spans="1:8" x14ac:dyDescent="0.25">
      <c r="A25" s="1" t="s">
        <v>24</v>
      </c>
      <c r="B25">
        <v>85.8</v>
      </c>
      <c r="C25">
        <v>112.3</v>
      </c>
      <c r="D25">
        <v>104.6</v>
      </c>
      <c r="F25">
        <f>D25-B25</f>
        <v>18.799999999999997</v>
      </c>
      <c r="G25">
        <f t="shared" si="1"/>
        <v>26.5</v>
      </c>
      <c r="H25">
        <f t="shared" si="1"/>
        <v>-7.7000000000000028</v>
      </c>
    </row>
    <row r="26" spans="1:8" x14ac:dyDescent="0.25">
      <c r="A26" s="1" t="s">
        <v>25</v>
      </c>
      <c r="B26">
        <v>135.30000000000001</v>
      </c>
      <c r="C26">
        <v>148.4</v>
      </c>
      <c r="D26">
        <v>159.1</v>
      </c>
      <c r="F26">
        <f>D26-B26</f>
        <v>23.799999999999983</v>
      </c>
      <c r="G26">
        <f t="shared" si="1"/>
        <v>13.099999999999994</v>
      </c>
      <c r="H26">
        <f t="shared" si="1"/>
        <v>10.699999999999989</v>
      </c>
    </row>
    <row r="27" spans="1:8" x14ac:dyDescent="0.25">
      <c r="A27" s="1" t="s">
        <v>26</v>
      </c>
      <c r="B27">
        <v>70.099999999999994</v>
      </c>
      <c r="C27">
        <v>101.7</v>
      </c>
      <c r="D27">
        <v>92.7</v>
      </c>
      <c r="F27">
        <f>D27-B27</f>
        <v>22.600000000000009</v>
      </c>
      <c r="G27">
        <f t="shared" si="1"/>
        <v>31.600000000000009</v>
      </c>
      <c r="H27">
        <f t="shared" si="1"/>
        <v>-9</v>
      </c>
    </row>
    <row r="29" spans="1:8" x14ac:dyDescent="0.25">
      <c r="A29" s="2" t="s">
        <v>6</v>
      </c>
      <c r="B29" t="s">
        <v>39</v>
      </c>
    </row>
    <row r="30" spans="1:8" x14ac:dyDescent="0.25">
      <c r="A30" s="2" t="s">
        <v>47</v>
      </c>
      <c r="B30" t="s">
        <v>30</v>
      </c>
    </row>
    <row r="31" spans="1:8" x14ac:dyDescent="0.25">
      <c r="A31" s="2" t="s">
        <v>48</v>
      </c>
      <c r="B31" t="s">
        <v>29</v>
      </c>
    </row>
    <row r="32" spans="1:8" x14ac:dyDescent="0.25">
      <c r="A32" s="2" t="s">
        <v>49</v>
      </c>
      <c r="B32" t="s">
        <v>29</v>
      </c>
    </row>
    <row r="33" spans="1:2" x14ac:dyDescent="0.25">
      <c r="A33" s="2" t="s">
        <v>50</v>
      </c>
      <c r="B33" t="s">
        <v>29</v>
      </c>
    </row>
    <row r="34" spans="1:2" x14ac:dyDescent="0.25">
      <c r="A34" s="2" t="s">
        <v>9</v>
      </c>
      <c r="B34" t="s">
        <v>29</v>
      </c>
    </row>
    <row r="35" spans="1:2" x14ac:dyDescent="0.25">
      <c r="A35" s="2" t="s">
        <v>10</v>
      </c>
      <c r="B35" t="s">
        <v>29</v>
      </c>
    </row>
    <row r="36" spans="1:2" x14ac:dyDescent="0.25">
      <c r="A36" s="2" t="s">
        <v>11</v>
      </c>
      <c r="B36" t="s">
        <v>29</v>
      </c>
    </row>
    <row r="37" spans="1:2" x14ac:dyDescent="0.25">
      <c r="A37" s="2" t="s">
        <v>52</v>
      </c>
      <c r="B37" t="s">
        <v>29</v>
      </c>
    </row>
    <row r="38" spans="1:2" x14ac:dyDescent="0.25">
      <c r="A38" s="2" t="s">
        <v>12</v>
      </c>
      <c r="B38" t="s">
        <v>29</v>
      </c>
    </row>
    <row r="39" spans="1:2" x14ac:dyDescent="0.25">
      <c r="A39" s="2" t="s">
        <v>51</v>
      </c>
      <c r="B39" t="s">
        <v>29</v>
      </c>
    </row>
    <row r="40" spans="1:2" x14ac:dyDescent="0.25">
      <c r="A40" s="2" t="s">
        <v>46</v>
      </c>
      <c r="B40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0"/>
  <sheetViews>
    <sheetView workbookViewId="0">
      <selection activeCell="A39" sqref="A39"/>
    </sheetView>
  </sheetViews>
  <sheetFormatPr defaultRowHeight="15" x14ac:dyDescent="0.25"/>
  <cols>
    <col min="1" max="1" width="32.42578125" customWidth="1"/>
    <col min="6" max="6" width="13.28515625" customWidth="1"/>
    <col min="7" max="8" width="14" customWidth="1"/>
  </cols>
  <sheetData>
    <row r="1" spans="1:8" x14ac:dyDescent="0.25">
      <c r="B1" s="7" t="s">
        <v>40</v>
      </c>
      <c r="C1" s="7" t="s">
        <v>41</v>
      </c>
      <c r="D1" s="7" t="s">
        <v>45</v>
      </c>
      <c r="F1" s="8" t="s">
        <v>43</v>
      </c>
      <c r="G1" s="8" t="s">
        <v>42</v>
      </c>
      <c r="H1" s="8" t="s">
        <v>44</v>
      </c>
    </row>
    <row r="2" spans="1:8" x14ac:dyDescent="0.25">
      <c r="A2" s="2" t="s">
        <v>19</v>
      </c>
      <c r="B2">
        <v>161</v>
      </c>
    </row>
    <row r="3" spans="1:8" x14ac:dyDescent="0.25">
      <c r="A3" s="2" t="s">
        <v>20</v>
      </c>
      <c r="B3">
        <v>91.4</v>
      </c>
      <c r="C3">
        <v>94</v>
      </c>
      <c r="D3">
        <v>89.6</v>
      </c>
      <c r="F3">
        <f>D3-B3</f>
        <v>-1.8000000000000114</v>
      </c>
      <c r="G3">
        <f>C3-B3</f>
        <v>2.5999999999999943</v>
      </c>
      <c r="H3">
        <f>D3-C3</f>
        <v>-4.4000000000000057</v>
      </c>
    </row>
    <row r="4" spans="1:8" x14ac:dyDescent="0.25">
      <c r="A4" s="2"/>
    </row>
    <row r="5" spans="1:8" x14ac:dyDescent="0.25">
      <c r="A5" s="2" t="s">
        <v>0</v>
      </c>
      <c r="B5">
        <v>1.0129999999999999</v>
      </c>
    </row>
    <row r="6" spans="1:8" x14ac:dyDescent="0.25">
      <c r="A6" s="2"/>
    </row>
    <row r="7" spans="1:8" x14ac:dyDescent="0.25">
      <c r="A7" s="2"/>
    </row>
    <row r="8" spans="1:8" x14ac:dyDescent="0.25">
      <c r="A8" s="2" t="s">
        <v>1</v>
      </c>
    </row>
    <row r="9" spans="1:8" x14ac:dyDescent="0.25">
      <c r="A9" s="1" t="s">
        <v>14</v>
      </c>
      <c r="B9">
        <v>43.5</v>
      </c>
      <c r="C9">
        <v>45.5</v>
      </c>
      <c r="D9">
        <v>41.1</v>
      </c>
    </row>
    <row r="10" spans="1:8" x14ac:dyDescent="0.25">
      <c r="A10" s="1" t="s">
        <v>15</v>
      </c>
      <c r="B10">
        <v>24.8</v>
      </c>
      <c r="C10">
        <v>25.7</v>
      </c>
      <c r="D10">
        <v>23.5</v>
      </c>
    </row>
    <row r="11" spans="1:8" x14ac:dyDescent="0.25">
      <c r="A11" s="1" t="s">
        <v>16</v>
      </c>
      <c r="B11">
        <v>18.7</v>
      </c>
      <c r="C11">
        <v>19.8</v>
      </c>
      <c r="D11">
        <v>17.600000000000001</v>
      </c>
    </row>
    <row r="12" spans="1:8" x14ac:dyDescent="0.25">
      <c r="A12" s="1" t="s">
        <v>17</v>
      </c>
      <c r="B12">
        <v>31.9</v>
      </c>
      <c r="C12">
        <v>31.8</v>
      </c>
      <c r="D12">
        <v>22.4</v>
      </c>
      <c r="F12">
        <f>D12-B12</f>
        <v>-9.5</v>
      </c>
      <c r="G12">
        <f t="shared" ref="G12:H14" si="0">C12-B12</f>
        <v>-9.9999999999997868E-2</v>
      </c>
      <c r="H12">
        <f t="shared" si="0"/>
        <v>-9.4000000000000021</v>
      </c>
    </row>
    <row r="13" spans="1:8" x14ac:dyDescent="0.25">
      <c r="A13" s="1" t="s">
        <v>18</v>
      </c>
      <c r="B13">
        <v>59.5</v>
      </c>
      <c r="C13">
        <v>62.2</v>
      </c>
      <c r="D13">
        <v>56.2</v>
      </c>
      <c r="F13">
        <f>D13-B13</f>
        <v>-3.2999999999999972</v>
      </c>
      <c r="G13">
        <f t="shared" si="0"/>
        <v>2.7000000000000028</v>
      </c>
      <c r="H13">
        <f t="shared" si="0"/>
        <v>-6</v>
      </c>
    </row>
    <row r="14" spans="1:8" x14ac:dyDescent="0.25">
      <c r="A14" s="1" t="s">
        <v>37</v>
      </c>
      <c r="B14">
        <v>34.9</v>
      </c>
      <c r="C14">
        <v>33.799999999999997</v>
      </c>
      <c r="D14">
        <v>37.299999999999997</v>
      </c>
      <c r="F14">
        <f>D14-B14</f>
        <v>2.3999999999999986</v>
      </c>
      <c r="G14">
        <f t="shared" si="0"/>
        <v>-1.1000000000000014</v>
      </c>
      <c r="H14">
        <f t="shared" si="0"/>
        <v>3.5</v>
      </c>
    </row>
    <row r="15" spans="1:8" x14ac:dyDescent="0.25">
      <c r="A15" s="3" t="s">
        <v>2</v>
      </c>
    </row>
    <row r="16" spans="1:8" x14ac:dyDescent="0.25">
      <c r="A16" s="1" t="s">
        <v>21</v>
      </c>
      <c r="B16">
        <v>52.55</v>
      </c>
      <c r="D16">
        <v>50.77</v>
      </c>
      <c r="F16">
        <f>D16-B16</f>
        <v>-1.779999999999994</v>
      </c>
    </row>
    <row r="17" spans="1:8" x14ac:dyDescent="0.25">
      <c r="A17" s="1" t="s">
        <v>17</v>
      </c>
      <c r="B17">
        <v>36.6</v>
      </c>
      <c r="D17">
        <v>36.68</v>
      </c>
      <c r="F17">
        <f>D17-B17</f>
        <v>7.9999999999998295E-2</v>
      </c>
    </row>
    <row r="18" spans="1:8" x14ac:dyDescent="0.25">
      <c r="A18" s="1" t="s">
        <v>37</v>
      </c>
      <c r="B18">
        <v>41</v>
      </c>
      <c r="D18">
        <v>41.9</v>
      </c>
      <c r="F18">
        <f>D18-B18</f>
        <v>0.89999999999999858</v>
      </c>
    </row>
    <row r="19" spans="1:8" x14ac:dyDescent="0.25">
      <c r="A19" s="3" t="s">
        <v>3</v>
      </c>
    </row>
    <row r="20" spans="1:8" x14ac:dyDescent="0.25">
      <c r="A20" s="4" t="s">
        <v>22</v>
      </c>
      <c r="B20">
        <v>1.89</v>
      </c>
      <c r="D20">
        <v>1.84</v>
      </c>
      <c r="F20">
        <f>D20-B20</f>
        <v>-4.9999999999999822E-2</v>
      </c>
    </row>
    <row r="21" spans="1:8" x14ac:dyDescent="0.25">
      <c r="A21" s="4" t="s">
        <v>4</v>
      </c>
      <c r="B21">
        <v>19.100000000000001</v>
      </c>
      <c r="D21">
        <v>17.399999999999999</v>
      </c>
      <c r="F21">
        <f>D21-B21</f>
        <v>-1.7000000000000028</v>
      </c>
    </row>
    <row r="23" spans="1:8" x14ac:dyDescent="0.25">
      <c r="A23" s="2" t="s">
        <v>5</v>
      </c>
    </row>
    <row r="24" spans="1:8" x14ac:dyDescent="0.25">
      <c r="A24" s="1" t="s">
        <v>23</v>
      </c>
      <c r="B24">
        <v>72.2</v>
      </c>
      <c r="C24">
        <v>89.6</v>
      </c>
      <c r="D24">
        <v>72.8</v>
      </c>
      <c r="F24">
        <f>D24-B24</f>
        <v>0.59999999999999432</v>
      </c>
      <c r="G24">
        <f t="shared" ref="G24:H27" si="1">C24-B24</f>
        <v>17.399999999999991</v>
      </c>
      <c r="H24">
        <f t="shared" si="1"/>
        <v>-16.799999999999997</v>
      </c>
    </row>
    <row r="25" spans="1:8" x14ac:dyDescent="0.25">
      <c r="A25" s="1" t="s">
        <v>24</v>
      </c>
      <c r="B25">
        <v>34.700000000000003</v>
      </c>
      <c r="C25">
        <v>47.8</v>
      </c>
      <c r="D25">
        <v>39.1</v>
      </c>
      <c r="F25">
        <f>D25-B25</f>
        <v>4.3999999999999986</v>
      </c>
      <c r="G25">
        <f t="shared" si="1"/>
        <v>13.099999999999994</v>
      </c>
      <c r="H25">
        <f t="shared" si="1"/>
        <v>-8.6999999999999957</v>
      </c>
    </row>
    <row r="26" spans="1:8" x14ac:dyDescent="0.25">
      <c r="A26" s="1" t="s">
        <v>25</v>
      </c>
      <c r="B26">
        <v>64.400000000000006</v>
      </c>
      <c r="C26">
        <v>84</v>
      </c>
      <c r="D26">
        <v>59.7</v>
      </c>
      <c r="F26">
        <f>D26-B26</f>
        <v>-4.7000000000000028</v>
      </c>
      <c r="G26">
        <f t="shared" si="1"/>
        <v>19.599999999999994</v>
      </c>
      <c r="H26">
        <f t="shared" si="1"/>
        <v>-24.299999999999997</v>
      </c>
    </row>
    <row r="27" spans="1:8" x14ac:dyDescent="0.25">
      <c r="A27" s="1" t="s">
        <v>26</v>
      </c>
      <c r="B27">
        <v>17.5</v>
      </c>
      <c r="C27">
        <v>37.1</v>
      </c>
      <c r="D27">
        <v>33.6</v>
      </c>
      <c r="F27">
        <f>D27-B27</f>
        <v>16.100000000000001</v>
      </c>
      <c r="G27">
        <f t="shared" si="1"/>
        <v>19.600000000000001</v>
      </c>
      <c r="H27">
        <f t="shared" si="1"/>
        <v>-3.5</v>
      </c>
    </row>
    <row r="29" spans="1:8" x14ac:dyDescent="0.25">
      <c r="A29" s="2" t="s">
        <v>6</v>
      </c>
      <c r="B29" t="s">
        <v>39</v>
      </c>
    </row>
    <row r="30" spans="1:8" x14ac:dyDescent="0.25">
      <c r="A30" s="2" t="s">
        <v>47</v>
      </c>
      <c r="B30" t="s">
        <v>29</v>
      </c>
    </row>
    <row r="31" spans="1:8" x14ac:dyDescent="0.25">
      <c r="A31" s="2" t="s">
        <v>48</v>
      </c>
      <c r="B31" t="s">
        <v>29</v>
      </c>
    </row>
    <row r="32" spans="1:8" x14ac:dyDescent="0.25">
      <c r="A32" s="2" t="s">
        <v>49</v>
      </c>
      <c r="B32" t="s">
        <v>29</v>
      </c>
    </row>
    <row r="33" spans="1:2" x14ac:dyDescent="0.25">
      <c r="A33" s="2" t="s">
        <v>50</v>
      </c>
      <c r="B33" t="s">
        <v>29</v>
      </c>
    </row>
    <row r="34" spans="1:2" x14ac:dyDescent="0.25">
      <c r="A34" s="2" t="s">
        <v>9</v>
      </c>
      <c r="B34" t="s">
        <v>29</v>
      </c>
    </row>
    <row r="35" spans="1:2" x14ac:dyDescent="0.25">
      <c r="A35" s="2" t="s">
        <v>10</v>
      </c>
      <c r="B35" t="s">
        <v>29</v>
      </c>
    </row>
    <row r="36" spans="1:2" x14ac:dyDescent="0.25">
      <c r="A36" s="2" t="s">
        <v>11</v>
      </c>
      <c r="B36" t="s">
        <v>29</v>
      </c>
    </row>
    <row r="37" spans="1:2" x14ac:dyDescent="0.25">
      <c r="A37" s="2" t="s">
        <v>52</v>
      </c>
      <c r="B37" t="s">
        <v>29</v>
      </c>
    </row>
    <row r="38" spans="1:2" x14ac:dyDescent="0.25">
      <c r="A38" s="2" t="s">
        <v>12</v>
      </c>
      <c r="B38" t="s">
        <v>29</v>
      </c>
    </row>
    <row r="39" spans="1:2" x14ac:dyDescent="0.25">
      <c r="A39" s="2" t="s">
        <v>51</v>
      </c>
      <c r="B39" t="s">
        <v>29</v>
      </c>
    </row>
    <row r="40" spans="1:2" x14ac:dyDescent="0.25">
      <c r="A40" s="2" t="s">
        <v>46</v>
      </c>
      <c r="B40" t="s">
        <v>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0"/>
  <sheetViews>
    <sheetView workbookViewId="0">
      <selection activeCell="D23" sqref="D23"/>
    </sheetView>
  </sheetViews>
  <sheetFormatPr defaultRowHeight="15" x14ac:dyDescent="0.25"/>
  <cols>
    <col min="1" max="1" width="32.5703125" customWidth="1"/>
    <col min="6" max="6" width="14" customWidth="1"/>
    <col min="7" max="7" width="13.5703125" customWidth="1"/>
    <col min="8" max="8" width="13.42578125" customWidth="1"/>
  </cols>
  <sheetData>
    <row r="1" spans="1:8" x14ac:dyDescent="0.25">
      <c r="B1" s="7" t="s">
        <v>40</v>
      </c>
      <c r="C1" s="7" t="s">
        <v>41</v>
      </c>
      <c r="D1" s="7" t="s">
        <v>45</v>
      </c>
      <c r="F1" s="8" t="s">
        <v>43</v>
      </c>
      <c r="G1" s="8" t="s">
        <v>42</v>
      </c>
      <c r="H1" s="8" t="s">
        <v>44</v>
      </c>
    </row>
    <row r="2" spans="1:8" x14ac:dyDescent="0.25">
      <c r="A2" s="2" t="s">
        <v>19</v>
      </c>
      <c r="B2">
        <v>163</v>
      </c>
      <c r="D2">
        <v>163</v>
      </c>
    </row>
    <row r="3" spans="1:8" x14ac:dyDescent="0.25">
      <c r="A3" s="2" t="s">
        <v>20</v>
      </c>
      <c r="B3">
        <v>102.5</v>
      </c>
      <c r="C3">
        <v>104.3</v>
      </c>
      <c r="D3">
        <v>15.4</v>
      </c>
      <c r="F3">
        <f>D3-B3</f>
        <v>-87.1</v>
      </c>
      <c r="G3">
        <f>C3-B3</f>
        <v>1.7999999999999972</v>
      </c>
      <c r="H3">
        <f>D3-C3</f>
        <v>-88.899999999999991</v>
      </c>
    </row>
    <row r="4" spans="1:8" x14ac:dyDescent="0.25">
      <c r="A4" s="2"/>
    </row>
    <row r="5" spans="1:8" x14ac:dyDescent="0.25">
      <c r="A5" s="2" t="s">
        <v>0</v>
      </c>
      <c r="B5">
        <v>1.014</v>
      </c>
      <c r="C5">
        <v>1.008</v>
      </c>
      <c r="D5">
        <v>1</v>
      </c>
    </row>
    <row r="6" spans="1:8" x14ac:dyDescent="0.25">
      <c r="A6" s="2"/>
    </row>
    <row r="7" spans="1:8" x14ac:dyDescent="0.25">
      <c r="A7" s="2"/>
    </row>
    <row r="8" spans="1:8" x14ac:dyDescent="0.25">
      <c r="A8" s="2" t="s">
        <v>1</v>
      </c>
    </row>
    <row r="9" spans="1:8" x14ac:dyDescent="0.25">
      <c r="A9" s="1" t="s">
        <v>14</v>
      </c>
      <c r="B9">
        <v>50.3</v>
      </c>
      <c r="C9">
        <v>50.4</v>
      </c>
      <c r="D9">
        <v>50.5</v>
      </c>
    </row>
    <row r="10" spans="1:8" x14ac:dyDescent="0.25">
      <c r="A10" s="1" t="s">
        <v>15</v>
      </c>
      <c r="B10">
        <v>28.1</v>
      </c>
      <c r="C10">
        <v>28.8</v>
      </c>
      <c r="D10">
        <v>29.3</v>
      </c>
    </row>
    <row r="11" spans="1:8" x14ac:dyDescent="0.25">
      <c r="A11" s="1" t="s">
        <v>16</v>
      </c>
      <c r="B11">
        <v>22.2</v>
      </c>
      <c r="C11">
        <v>21.6</v>
      </c>
      <c r="D11">
        <v>21.2</v>
      </c>
    </row>
    <row r="12" spans="1:8" x14ac:dyDescent="0.25">
      <c r="A12" s="1" t="s">
        <v>17</v>
      </c>
      <c r="B12">
        <v>33.799999999999997</v>
      </c>
      <c r="C12">
        <v>35.4</v>
      </c>
      <c r="D12">
        <v>36.4</v>
      </c>
      <c r="F12">
        <f>D12-B12</f>
        <v>2.6000000000000014</v>
      </c>
      <c r="G12">
        <f t="shared" ref="G12:H14" si="0">C12-B12</f>
        <v>1.6000000000000014</v>
      </c>
      <c r="H12">
        <f t="shared" si="0"/>
        <v>1</v>
      </c>
    </row>
    <row r="13" spans="1:8" x14ac:dyDescent="0.25">
      <c r="A13" s="1" t="s">
        <v>18</v>
      </c>
      <c r="B13">
        <v>68.7</v>
      </c>
      <c r="C13">
        <v>68.900000000000006</v>
      </c>
      <c r="D13">
        <v>69</v>
      </c>
      <c r="F13">
        <f>D13-B13</f>
        <v>0.29999999999999716</v>
      </c>
      <c r="G13">
        <f t="shared" si="0"/>
        <v>0.20000000000000284</v>
      </c>
      <c r="H13">
        <f t="shared" si="0"/>
        <v>9.9999999999994316E-2</v>
      </c>
    </row>
    <row r="14" spans="1:8" x14ac:dyDescent="0.25">
      <c r="A14" s="1" t="s">
        <v>38</v>
      </c>
      <c r="B14">
        <v>33</v>
      </c>
      <c r="C14">
        <v>33.9</v>
      </c>
      <c r="D14">
        <v>34.5</v>
      </c>
      <c r="F14">
        <f>D14-B14</f>
        <v>1.5</v>
      </c>
      <c r="G14">
        <f t="shared" si="0"/>
        <v>0.89999999999999858</v>
      </c>
      <c r="H14">
        <f t="shared" si="0"/>
        <v>0.60000000000000142</v>
      </c>
    </row>
    <row r="15" spans="1:8" x14ac:dyDescent="0.25">
      <c r="A15" s="3" t="s">
        <v>2</v>
      </c>
    </row>
    <row r="16" spans="1:8" x14ac:dyDescent="0.25">
      <c r="A16" s="1" t="s">
        <v>21</v>
      </c>
      <c r="B16">
        <v>52.5</v>
      </c>
      <c r="D16">
        <v>54.22</v>
      </c>
      <c r="F16">
        <f>D16-B16</f>
        <v>1.7199999999999989</v>
      </c>
    </row>
    <row r="17" spans="1:8" x14ac:dyDescent="0.25">
      <c r="A17" s="1" t="s">
        <v>17</v>
      </c>
      <c r="B17">
        <v>46.7</v>
      </c>
      <c r="D17">
        <v>48.72</v>
      </c>
      <c r="F17">
        <f>D17-B17</f>
        <v>2.019999999999996</v>
      </c>
    </row>
    <row r="18" spans="1:8" x14ac:dyDescent="0.25">
      <c r="A18" s="1" t="s">
        <v>38</v>
      </c>
      <c r="B18">
        <v>47.1</v>
      </c>
      <c r="D18">
        <v>47.3</v>
      </c>
      <c r="F18">
        <f>D18-B18</f>
        <v>0.19999999999999574</v>
      </c>
    </row>
    <row r="19" spans="1:8" x14ac:dyDescent="0.25">
      <c r="A19" s="3" t="s">
        <v>3</v>
      </c>
    </row>
    <row r="20" spans="1:8" x14ac:dyDescent="0.25">
      <c r="A20" s="4" t="s">
        <v>22</v>
      </c>
      <c r="B20">
        <v>3.07</v>
      </c>
      <c r="D20">
        <v>2.2799999999999998</v>
      </c>
      <c r="F20">
        <f>D20-B20</f>
        <v>-0.79</v>
      </c>
    </row>
    <row r="21" spans="1:8" x14ac:dyDescent="0.25">
      <c r="A21" s="4" t="s">
        <v>4</v>
      </c>
      <c r="B21">
        <v>24</v>
      </c>
      <c r="D21">
        <v>24</v>
      </c>
      <c r="F21">
        <f>D21-B21</f>
        <v>0</v>
      </c>
    </row>
    <row r="23" spans="1:8" x14ac:dyDescent="0.25">
      <c r="A23" s="2" t="s">
        <v>5</v>
      </c>
    </row>
    <row r="24" spans="1:8" x14ac:dyDescent="0.25">
      <c r="A24" s="1" t="s">
        <v>23</v>
      </c>
      <c r="B24">
        <v>143.1</v>
      </c>
      <c r="C24">
        <v>144.4</v>
      </c>
      <c r="D24">
        <v>124.9</v>
      </c>
      <c r="F24">
        <f>D24-B24</f>
        <v>-18.199999999999989</v>
      </c>
      <c r="G24">
        <f t="shared" ref="G24:H27" si="1">C24-B24</f>
        <v>1.3000000000000114</v>
      </c>
      <c r="H24">
        <f t="shared" si="1"/>
        <v>-19.5</v>
      </c>
    </row>
    <row r="25" spans="1:8" x14ac:dyDescent="0.25">
      <c r="A25" s="1" t="s">
        <v>24</v>
      </c>
      <c r="B25">
        <v>24.1</v>
      </c>
      <c r="C25">
        <v>39.299999999999997</v>
      </c>
      <c r="D25">
        <v>41.1</v>
      </c>
      <c r="F25">
        <f>D25-B25</f>
        <v>17</v>
      </c>
      <c r="G25">
        <f t="shared" si="1"/>
        <v>15.199999999999996</v>
      </c>
      <c r="H25">
        <f t="shared" si="1"/>
        <v>1.8000000000000043</v>
      </c>
    </row>
    <row r="26" spans="1:8" x14ac:dyDescent="0.25">
      <c r="A26" s="1" t="s">
        <v>25</v>
      </c>
      <c r="B26">
        <v>84.4</v>
      </c>
      <c r="C26">
        <v>115.4</v>
      </c>
      <c r="D26">
        <v>95.9</v>
      </c>
      <c r="F26">
        <f>D26-B26</f>
        <v>11.5</v>
      </c>
      <c r="G26">
        <f t="shared" si="1"/>
        <v>31</v>
      </c>
      <c r="H26">
        <f t="shared" si="1"/>
        <v>-19.5</v>
      </c>
    </row>
    <row r="27" spans="1:8" x14ac:dyDescent="0.25">
      <c r="A27" s="1" t="s">
        <v>26</v>
      </c>
      <c r="B27">
        <v>88.8</v>
      </c>
      <c r="C27">
        <v>33.5</v>
      </c>
      <c r="D27">
        <v>29</v>
      </c>
      <c r="F27">
        <f>D27-B27</f>
        <v>-59.8</v>
      </c>
      <c r="G27">
        <f t="shared" si="1"/>
        <v>-55.3</v>
      </c>
      <c r="H27">
        <f t="shared" si="1"/>
        <v>-4.5</v>
      </c>
    </row>
    <row r="29" spans="1:8" x14ac:dyDescent="0.25">
      <c r="A29" s="2" t="s">
        <v>6</v>
      </c>
      <c r="B29" t="s">
        <v>32</v>
      </c>
    </row>
    <row r="30" spans="1:8" x14ac:dyDescent="0.25">
      <c r="A30" s="2" t="s">
        <v>47</v>
      </c>
      <c r="B30" t="s">
        <v>29</v>
      </c>
    </row>
    <row r="31" spans="1:8" x14ac:dyDescent="0.25">
      <c r="A31" s="2" t="s">
        <v>48</v>
      </c>
      <c r="B31" t="s">
        <v>29</v>
      </c>
    </row>
    <row r="32" spans="1:8" x14ac:dyDescent="0.25">
      <c r="A32" s="2" t="s">
        <v>49</v>
      </c>
      <c r="B32" t="s">
        <v>29</v>
      </c>
    </row>
    <row r="33" spans="1:2" x14ac:dyDescent="0.25">
      <c r="A33" s="2" t="s">
        <v>50</v>
      </c>
      <c r="B33" t="s">
        <v>29</v>
      </c>
    </row>
    <row r="34" spans="1:2" x14ac:dyDescent="0.25">
      <c r="A34" s="2" t="s">
        <v>9</v>
      </c>
      <c r="B34" t="s">
        <v>29</v>
      </c>
    </row>
    <row r="35" spans="1:2" x14ac:dyDescent="0.25">
      <c r="A35" s="2" t="s">
        <v>10</v>
      </c>
      <c r="B35" t="s">
        <v>29</v>
      </c>
    </row>
    <row r="36" spans="1:2" x14ac:dyDescent="0.25">
      <c r="A36" s="2" t="s">
        <v>11</v>
      </c>
      <c r="B36" t="s">
        <v>29</v>
      </c>
    </row>
    <row r="37" spans="1:2" x14ac:dyDescent="0.25">
      <c r="A37" s="2" t="s">
        <v>52</v>
      </c>
      <c r="B37" t="s">
        <v>29</v>
      </c>
    </row>
    <row r="38" spans="1:2" x14ac:dyDescent="0.25">
      <c r="A38" s="2" t="s">
        <v>12</v>
      </c>
      <c r="B38" t="s">
        <v>29</v>
      </c>
    </row>
    <row r="39" spans="1:2" x14ac:dyDescent="0.25">
      <c r="A39" s="2" t="s">
        <v>51</v>
      </c>
      <c r="B39" t="s">
        <v>29</v>
      </c>
    </row>
    <row r="40" spans="1:2" x14ac:dyDescent="0.25">
      <c r="A40" s="2" t="s">
        <v>46</v>
      </c>
      <c r="B40" t="s">
        <v>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0"/>
  <sheetViews>
    <sheetView topLeftCell="A10" workbookViewId="0">
      <selection activeCell="B40" sqref="B40"/>
    </sheetView>
  </sheetViews>
  <sheetFormatPr defaultRowHeight="15" x14ac:dyDescent="0.25"/>
  <cols>
    <col min="1" max="1" width="32.140625" customWidth="1"/>
    <col min="6" max="6" width="13.7109375" customWidth="1"/>
    <col min="7" max="7" width="13.42578125" customWidth="1"/>
    <col min="8" max="8" width="13.7109375" customWidth="1"/>
  </cols>
  <sheetData>
    <row r="1" spans="1:8" x14ac:dyDescent="0.25">
      <c r="B1" s="7" t="s">
        <v>40</v>
      </c>
      <c r="C1" s="7" t="s">
        <v>41</v>
      </c>
      <c r="D1" s="7" t="s">
        <v>45</v>
      </c>
      <c r="F1" s="8" t="s">
        <v>43</v>
      </c>
      <c r="G1" s="8" t="s">
        <v>42</v>
      </c>
      <c r="H1" s="8" t="s">
        <v>44</v>
      </c>
    </row>
    <row r="2" spans="1:8" x14ac:dyDescent="0.25">
      <c r="A2" s="2" t="s">
        <v>19</v>
      </c>
      <c r="B2">
        <v>172.9</v>
      </c>
    </row>
    <row r="3" spans="1:8" x14ac:dyDescent="0.25">
      <c r="A3" s="2" t="s">
        <v>20</v>
      </c>
      <c r="B3">
        <v>114</v>
      </c>
      <c r="C3">
        <v>116.7</v>
      </c>
      <c r="D3">
        <v>120.5</v>
      </c>
      <c r="F3">
        <f>D3-B3</f>
        <v>6.5</v>
      </c>
      <c r="G3">
        <f>C3-B3</f>
        <v>2.7000000000000028</v>
      </c>
      <c r="H3">
        <f>D3-C3</f>
        <v>3.7999999999999972</v>
      </c>
    </row>
    <row r="4" spans="1:8" x14ac:dyDescent="0.25">
      <c r="A4" s="2"/>
    </row>
    <row r="5" spans="1:8" x14ac:dyDescent="0.25">
      <c r="A5" s="2" t="s">
        <v>0</v>
      </c>
      <c r="B5">
        <v>1.0209999999999999</v>
      </c>
      <c r="C5">
        <v>1.0129999999999999</v>
      </c>
      <c r="D5">
        <v>1.018</v>
      </c>
    </row>
    <row r="6" spans="1:8" x14ac:dyDescent="0.25">
      <c r="A6" s="2"/>
    </row>
    <row r="7" spans="1:8" x14ac:dyDescent="0.25">
      <c r="A7" s="2"/>
    </row>
    <row r="8" spans="1:8" x14ac:dyDescent="0.25">
      <c r="A8" s="2" t="s">
        <v>1</v>
      </c>
    </row>
    <row r="9" spans="1:8" x14ac:dyDescent="0.25">
      <c r="A9" s="1" t="s">
        <v>14</v>
      </c>
      <c r="B9">
        <v>49.2</v>
      </c>
      <c r="C9">
        <v>50.8</v>
      </c>
      <c r="D9">
        <v>52.4</v>
      </c>
    </row>
    <row r="10" spans="1:8" x14ac:dyDescent="0.25">
      <c r="A10" s="1" t="s">
        <v>15</v>
      </c>
      <c r="B10">
        <v>26.3</v>
      </c>
      <c r="C10">
        <v>27.2</v>
      </c>
      <c r="D10">
        <v>28.2</v>
      </c>
    </row>
    <row r="11" spans="1:8" x14ac:dyDescent="0.25">
      <c r="A11" s="1" t="s">
        <v>16</v>
      </c>
      <c r="B11">
        <v>22.9</v>
      </c>
      <c r="C11">
        <v>23.6</v>
      </c>
      <c r="D11">
        <v>24.2</v>
      </c>
    </row>
    <row r="12" spans="1:8" x14ac:dyDescent="0.25">
      <c r="A12" s="1" t="s">
        <v>17</v>
      </c>
      <c r="B12">
        <v>46.7</v>
      </c>
      <c r="C12">
        <v>47.3</v>
      </c>
      <c r="D12">
        <v>49</v>
      </c>
      <c r="F12">
        <f>D12-B12</f>
        <v>2.2999999999999972</v>
      </c>
      <c r="G12">
        <f t="shared" ref="G12:H14" si="0">C12-B12</f>
        <v>0.59999999999999432</v>
      </c>
      <c r="H12">
        <f t="shared" si="0"/>
        <v>1.7000000000000028</v>
      </c>
    </row>
    <row r="13" spans="1:8" x14ac:dyDescent="0.25">
      <c r="A13" s="1" t="s">
        <v>18</v>
      </c>
      <c r="B13">
        <v>67.3</v>
      </c>
      <c r="C13">
        <v>69.400000000000006</v>
      </c>
      <c r="D13">
        <v>71.5</v>
      </c>
      <c r="F13">
        <f>D13-B13</f>
        <v>4.2000000000000028</v>
      </c>
      <c r="G13">
        <f t="shared" si="0"/>
        <v>2.1000000000000085</v>
      </c>
      <c r="H13">
        <f t="shared" si="0"/>
        <v>2.0999999999999943</v>
      </c>
    </row>
    <row r="14" spans="1:8" x14ac:dyDescent="0.25">
      <c r="A14" s="1" t="s">
        <v>38</v>
      </c>
      <c r="B14">
        <v>41</v>
      </c>
      <c r="C14">
        <v>40.5</v>
      </c>
      <c r="D14">
        <v>40.700000000000003</v>
      </c>
      <c r="F14">
        <f>D14-B14</f>
        <v>-0.29999999999999716</v>
      </c>
      <c r="G14">
        <f t="shared" si="0"/>
        <v>-0.5</v>
      </c>
      <c r="H14">
        <f t="shared" si="0"/>
        <v>0.20000000000000284</v>
      </c>
    </row>
    <row r="15" spans="1:8" x14ac:dyDescent="0.25">
      <c r="A15" s="3" t="s">
        <v>2</v>
      </c>
    </row>
    <row r="16" spans="1:8" x14ac:dyDescent="0.25">
      <c r="A16" s="1" t="s">
        <v>21</v>
      </c>
      <c r="B16">
        <v>52.8</v>
      </c>
      <c r="D16">
        <v>56</v>
      </c>
      <c r="F16">
        <f>D16-B16</f>
        <v>3.2000000000000028</v>
      </c>
    </row>
    <row r="17" spans="1:8" x14ac:dyDescent="0.25">
      <c r="A17" s="1" t="s">
        <v>17</v>
      </c>
      <c r="B17">
        <v>57.6</v>
      </c>
      <c r="D17">
        <v>61.4</v>
      </c>
      <c r="F17">
        <f>D17-B17</f>
        <v>3.7999999999999972</v>
      </c>
    </row>
    <row r="18" spans="1:8" x14ac:dyDescent="0.25">
      <c r="A18" s="1" t="s">
        <v>38</v>
      </c>
      <c r="B18">
        <v>52.2</v>
      </c>
      <c r="D18">
        <v>52.3</v>
      </c>
      <c r="F18">
        <f>D18-B18</f>
        <v>9.9999999999994316E-2</v>
      </c>
    </row>
    <row r="19" spans="1:8" x14ac:dyDescent="0.25">
      <c r="A19" s="3" t="s">
        <v>3</v>
      </c>
    </row>
    <row r="20" spans="1:8" x14ac:dyDescent="0.25">
      <c r="A20" s="4" t="s">
        <v>22</v>
      </c>
      <c r="B20">
        <v>2.3199999999999998</v>
      </c>
      <c r="D20">
        <v>2.5099999999999998</v>
      </c>
      <c r="F20">
        <f>D20-B20</f>
        <v>0.18999999999999995</v>
      </c>
    </row>
    <row r="21" spans="1:8" x14ac:dyDescent="0.25">
      <c r="A21" s="4" t="s">
        <v>4</v>
      </c>
      <c r="B21">
        <v>14.4</v>
      </c>
      <c r="D21">
        <v>16.8</v>
      </c>
      <c r="F21">
        <f>D21-B21</f>
        <v>2.4000000000000004</v>
      </c>
    </row>
    <row r="23" spans="1:8" x14ac:dyDescent="0.25">
      <c r="A23" s="2" t="s">
        <v>5</v>
      </c>
    </row>
    <row r="24" spans="1:8" x14ac:dyDescent="0.25">
      <c r="A24" s="1" t="s">
        <v>23</v>
      </c>
      <c r="B24">
        <v>141.30000000000001</v>
      </c>
      <c r="C24">
        <v>141.9</v>
      </c>
      <c r="D24">
        <v>127.4</v>
      </c>
      <c r="F24">
        <f>D24-B24</f>
        <v>-13.900000000000006</v>
      </c>
      <c r="G24">
        <f t="shared" ref="G24:H27" si="1">C24-B24</f>
        <v>0.59999999999999432</v>
      </c>
      <c r="H24">
        <f t="shared" si="1"/>
        <v>-14.5</v>
      </c>
    </row>
    <row r="25" spans="1:8" x14ac:dyDescent="0.25">
      <c r="A25" s="1" t="s">
        <v>24</v>
      </c>
      <c r="B25">
        <v>72.400000000000006</v>
      </c>
      <c r="C25">
        <v>62.1</v>
      </c>
      <c r="D25">
        <v>128.5</v>
      </c>
      <c r="F25">
        <f>D25-B25</f>
        <v>56.099999999999994</v>
      </c>
      <c r="G25">
        <f t="shared" si="1"/>
        <v>-10.300000000000004</v>
      </c>
      <c r="H25">
        <f t="shared" si="1"/>
        <v>66.400000000000006</v>
      </c>
    </row>
    <row r="26" spans="1:8" x14ac:dyDescent="0.25">
      <c r="A26" s="1" t="s">
        <v>25</v>
      </c>
      <c r="B26">
        <v>124</v>
      </c>
      <c r="C26">
        <v>114.2</v>
      </c>
      <c r="D26">
        <v>112.4</v>
      </c>
      <c r="F26">
        <f>D26-B26</f>
        <v>-11.599999999999994</v>
      </c>
      <c r="G26">
        <f t="shared" si="1"/>
        <v>-9.7999999999999972</v>
      </c>
      <c r="H26">
        <f t="shared" si="1"/>
        <v>-1.7999999999999972</v>
      </c>
    </row>
    <row r="27" spans="1:8" x14ac:dyDescent="0.25">
      <c r="A27" s="1" t="s">
        <v>26</v>
      </c>
      <c r="B27">
        <v>55.4</v>
      </c>
      <c r="C27">
        <v>52.4</v>
      </c>
      <c r="D27">
        <v>58.7</v>
      </c>
      <c r="F27">
        <f>D27-B27</f>
        <v>3.3000000000000043</v>
      </c>
      <c r="G27">
        <f t="shared" si="1"/>
        <v>-3</v>
      </c>
      <c r="H27">
        <f t="shared" si="1"/>
        <v>6.3000000000000043</v>
      </c>
    </row>
    <row r="29" spans="1:8" x14ac:dyDescent="0.25">
      <c r="A29" s="2" t="s">
        <v>6</v>
      </c>
      <c r="B29" t="s">
        <v>39</v>
      </c>
    </row>
    <row r="30" spans="1:8" x14ac:dyDescent="0.25">
      <c r="A30" s="2" t="s">
        <v>47</v>
      </c>
      <c r="B30" t="s">
        <v>29</v>
      </c>
    </row>
    <row r="31" spans="1:8" x14ac:dyDescent="0.25">
      <c r="A31" s="2" t="s">
        <v>48</v>
      </c>
      <c r="B31" t="s">
        <v>29</v>
      </c>
    </row>
    <row r="32" spans="1:8" x14ac:dyDescent="0.25">
      <c r="A32" s="2" t="s">
        <v>49</v>
      </c>
      <c r="B32" t="s">
        <v>29</v>
      </c>
    </row>
    <row r="33" spans="1:2" x14ac:dyDescent="0.25">
      <c r="A33" s="2" t="s">
        <v>50</v>
      </c>
      <c r="B33" t="s">
        <v>29</v>
      </c>
    </row>
    <row r="34" spans="1:2" x14ac:dyDescent="0.25">
      <c r="A34" s="2" t="s">
        <v>9</v>
      </c>
      <c r="B34" t="s">
        <v>29</v>
      </c>
    </row>
    <row r="35" spans="1:2" x14ac:dyDescent="0.25">
      <c r="A35" s="2" t="s">
        <v>10</v>
      </c>
      <c r="B35" t="s">
        <v>29</v>
      </c>
    </row>
    <row r="36" spans="1:2" x14ac:dyDescent="0.25">
      <c r="A36" s="2" t="s">
        <v>11</v>
      </c>
      <c r="B36" t="s">
        <v>29</v>
      </c>
    </row>
    <row r="37" spans="1:2" x14ac:dyDescent="0.25">
      <c r="A37" s="2" t="s">
        <v>52</v>
      </c>
      <c r="B37" t="s">
        <v>29</v>
      </c>
    </row>
    <row r="38" spans="1:2" x14ac:dyDescent="0.25">
      <c r="A38" s="2" t="s">
        <v>12</v>
      </c>
      <c r="B38" t="s">
        <v>29</v>
      </c>
    </row>
    <row r="39" spans="1:2" x14ac:dyDescent="0.25">
      <c r="A39" s="2" t="s">
        <v>51</v>
      </c>
      <c r="B39" t="s">
        <v>29</v>
      </c>
    </row>
    <row r="40" spans="1:2" x14ac:dyDescent="0.25">
      <c r="A40" s="2" t="s">
        <v>46</v>
      </c>
      <c r="B40" t="s">
        <v>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0"/>
  <sheetViews>
    <sheetView workbookViewId="0">
      <selection activeCell="D28" sqref="D28"/>
    </sheetView>
  </sheetViews>
  <sheetFormatPr defaultRowHeight="15" x14ac:dyDescent="0.25"/>
  <cols>
    <col min="1" max="1" width="31.28515625" customWidth="1"/>
    <col min="6" max="7" width="13.85546875" customWidth="1"/>
    <col min="8" max="8" width="13.5703125" customWidth="1"/>
  </cols>
  <sheetData>
    <row r="1" spans="1:8" x14ac:dyDescent="0.25">
      <c r="B1" s="7" t="s">
        <v>40</v>
      </c>
      <c r="C1" s="7" t="s">
        <v>41</v>
      </c>
      <c r="D1" s="7" t="s">
        <v>45</v>
      </c>
      <c r="F1" s="8" t="s">
        <v>43</v>
      </c>
      <c r="G1" s="8" t="s">
        <v>42</v>
      </c>
      <c r="H1" s="8" t="s">
        <v>44</v>
      </c>
    </row>
    <row r="2" spans="1:8" x14ac:dyDescent="0.25">
      <c r="A2" s="2" t="s">
        <v>19</v>
      </c>
      <c r="B2">
        <v>165.4</v>
      </c>
    </row>
    <row r="3" spans="1:8" x14ac:dyDescent="0.25">
      <c r="A3" s="2" t="s">
        <v>20</v>
      </c>
      <c r="B3">
        <v>61.7</v>
      </c>
      <c r="C3">
        <v>65.5</v>
      </c>
      <c r="D3">
        <v>62.2</v>
      </c>
      <c r="F3">
        <f>D3-B3</f>
        <v>0.5</v>
      </c>
      <c r="G3">
        <f>C3-B3</f>
        <v>3.7999999999999972</v>
      </c>
      <c r="H3">
        <f>D3-C3</f>
        <v>-3.2999999999999972</v>
      </c>
    </row>
    <row r="4" spans="1:8" x14ac:dyDescent="0.25">
      <c r="A4" s="2"/>
    </row>
    <row r="5" spans="1:8" x14ac:dyDescent="0.25">
      <c r="A5" s="2" t="s">
        <v>0</v>
      </c>
      <c r="C5">
        <v>1.014</v>
      </c>
      <c r="D5">
        <v>1.02</v>
      </c>
    </row>
    <row r="6" spans="1:8" x14ac:dyDescent="0.25">
      <c r="A6" s="2"/>
    </row>
    <row r="7" spans="1:8" x14ac:dyDescent="0.25">
      <c r="A7" s="2"/>
    </row>
    <row r="8" spans="1:8" x14ac:dyDescent="0.25">
      <c r="A8" s="2" t="s">
        <v>1</v>
      </c>
    </row>
    <row r="9" spans="1:8" x14ac:dyDescent="0.25">
      <c r="A9" s="1" t="s">
        <v>14</v>
      </c>
      <c r="B9">
        <v>29.7</v>
      </c>
      <c r="C9">
        <v>30.4</v>
      </c>
      <c r="D9">
        <v>30.7</v>
      </c>
    </row>
    <row r="10" spans="1:8" x14ac:dyDescent="0.25">
      <c r="A10" s="1" t="s">
        <v>15</v>
      </c>
      <c r="B10">
        <v>16.3</v>
      </c>
      <c r="C10">
        <v>15.9</v>
      </c>
      <c r="D10">
        <v>16.600000000000001</v>
      </c>
    </row>
    <row r="11" spans="1:8" x14ac:dyDescent="0.25">
      <c r="A11" s="1" t="s">
        <v>16</v>
      </c>
      <c r="B11">
        <v>13.4</v>
      </c>
      <c r="C11">
        <v>14.5</v>
      </c>
      <c r="D11">
        <v>14.1</v>
      </c>
    </row>
    <row r="12" spans="1:8" x14ac:dyDescent="0.25">
      <c r="A12" s="1" t="s">
        <v>17</v>
      </c>
      <c r="B12">
        <v>21.2</v>
      </c>
      <c r="C12">
        <v>21</v>
      </c>
      <c r="D12">
        <v>20.3</v>
      </c>
      <c r="F12">
        <f>D12-B12</f>
        <v>-0.89999999999999858</v>
      </c>
      <c r="G12">
        <f t="shared" ref="G12:H14" si="0">C12-B12</f>
        <v>-0.19999999999999929</v>
      </c>
      <c r="H12">
        <f t="shared" si="0"/>
        <v>-0.69999999999999929</v>
      </c>
    </row>
    <row r="13" spans="1:8" x14ac:dyDescent="0.25">
      <c r="A13" s="1" t="s">
        <v>18</v>
      </c>
      <c r="B13">
        <v>40.5</v>
      </c>
      <c r="C13">
        <v>41.5</v>
      </c>
      <c r="D13">
        <v>41.9</v>
      </c>
      <c r="F13">
        <f>D13-B13</f>
        <v>1.3999999999999986</v>
      </c>
      <c r="G13">
        <f t="shared" si="0"/>
        <v>1</v>
      </c>
      <c r="H13">
        <f t="shared" si="0"/>
        <v>0.39999999999999858</v>
      </c>
    </row>
    <row r="14" spans="1:8" x14ac:dyDescent="0.25">
      <c r="A14" s="1" t="s">
        <v>38</v>
      </c>
      <c r="B14">
        <v>34.4</v>
      </c>
      <c r="C14">
        <v>33.5</v>
      </c>
      <c r="D14">
        <v>32.6</v>
      </c>
      <c r="F14">
        <f>D14-B14</f>
        <v>-1.7999999999999972</v>
      </c>
      <c r="G14">
        <f t="shared" si="0"/>
        <v>-0.89999999999999858</v>
      </c>
      <c r="H14">
        <f t="shared" si="0"/>
        <v>-0.89999999999999858</v>
      </c>
    </row>
    <row r="15" spans="1:8" x14ac:dyDescent="0.25">
      <c r="A15" s="3" t="s">
        <v>2</v>
      </c>
    </row>
    <row r="16" spans="1:8" x14ac:dyDescent="0.25">
      <c r="A16" s="1" t="s">
        <v>21</v>
      </c>
      <c r="B16">
        <v>36.1</v>
      </c>
      <c r="D16">
        <v>38.4</v>
      </c>
      <c r="F16">
        <f>D16-B16</f>
        <v>2.2999999999999972</v>
      </c>
    </row>
    <row r="17" spans="1:8" x14ac:dyDescent="0.25">
      <c r="A17" s="1" t="s">
        <v>17</v>
      </c>
      <c r="B17">
        <v>23</v>
      </c>
      <c r="D17">
        <v>22.09</v>
      </c>
      <c r="F17">
        <f>D17-B17</f>
        <v>-0.91000000000000014</v>
      </c>
    </row>
    <row r="18" spans="1:8" x14ac:dyDescent="0.25">
      <c r="A18" s="1" t="s">
        <v>38</v>
      </c>
      <c r="B18">
        <v>38.9</v>
      </c>
      <c r="D18">
        <v>36.5</v>
      </c>
      <c r="F18">
        <f>D18-B18</f>
        <v>-2.3999999999999986</v>
      </c>
    </row>
    <row r="19" spans="1:8" x14ac:dyDescent="0.25">
      <c r="A19" s="3" t="s">
        <v>3</v>
      </c>
    </row>
    <row r="20" spans="1:8" x14ac:dyDescent="0.25">
      <c r="A20" s="4" t="s">
        <v>22</v>
      </c>
      <c r="B20">
        <v>1.34</v>
      </c>
      <c r="D20">
        <v>1.49</v>
      </c>
      <c r="F20">
        <f>D20-B20</f>
        <v>0.14999999999999991</v>
      </c>
    </row>
    <row r="21" spans="1:8" x14ac:dyDescent="0.25">
      <c r="A21" s="4" t="s">
        <v>4</v>
      </c>
      <c r="B21">
        <v>13.2</v>
      </c>
      <c r="D21">
        <v>21.9</v>
      </c>
      <c r="F21">
        <f>D21-B21</f>
        <v>8.6999999999999993</v>
      </c>
    </row>
    <row r="23" spans="1:8" x14ac:dyDescent="0.25">
      <c r="A23" s="2" t="s">
        <v>5</v>
      </c>
    </row>
    <row r="24" spans="1:8" x14ac:dyDescent="0.25">
      <c r="A24" s="1" t="s">
        <v>23</v>
      </c>
      <c r="B24">
        <v>78.5</v>
      </c>
      <c r="C24">
        <v>119.2</v>
      </c>
      <c r="D24">
        <v>103.3</v>
      </c>
      <c r="F24">
        <f>D24-B24</f>
        <v>24.799999999999997</v>
      </c>
      <c r="G24">
        <f t="shared" ref="G24:H27" si="1">C24-B24</f>
        <v>40.700000000000003</v>
      </c>
      <c r="H24">
        <f t="shared" si="1"/>
        <v>-15.900000000000006</v>
      </c>
    </row>
    <row r="25" spans="1:8" x14ac:dyDescent="0.25">
      <c r="A25" s="1" t="s">
        <v>24</v>
      </c>
      <c r="B25">
        <v>34.200000000000003</v>
      </c>
      <c r="C25">
        <v>65.7</v>
      </c>
      <c r="D25">
        <v>55.9</v>
      </c>
      <c r="F25">
        <f>D25-B25</f>
        <v>21.699999999999996</v>
      </c>
      <c r="G25">
        <f t="shared" si="1"/>
        <v>31.5</v>
      </c>
      <c r="H25">
        <f t="shared" si="1"/>
        <v>-9.8000000000000043</v>
      </c>
    </row>
    <row r="26" spans="1:8" x14ac:dyDescent="0.25">
      <c r="A26" s="1" t="s">
        <v>25</v>
      </c>
      <c r="B26">
        <v>79.2</v>
      </c>
      <c r="C26">
        <v>98</v>
      </c>
      <c r="D26">
        <v>76.900000000000006</v>
      </c>
      <c r="F26">
        <f>D26-B26</f>
        <v>-2.2999999999999972</v>
      </c>
      <c r="G26">
        <f t="shared" si="1"/>
        <v>18.799999999999997</v>
      </c>
      <c r="H26">
        <f t="shared" si="1"/>
        <v>-21.099999999999994</v>
      </c>
    </row>
    <row r="27" spans="1:8" x14ac:dyDescent="0.25">
      <c r="A27" s="1" t="s">
        <v>26</v>
      </c>
      <c r="B27">
        <v>36.6</v>
      </c>
      <c r="C27">
        <v>56.6</v>
      </c>
      <c r="D27">
        <v>51.8</v>
      </c>
      <c r="F27">
        <f>D27-B27</f>
        <v>15.199999999999996</v>
      </c>
      <c r="G27">
        <f t="shared" si="1"/>
        <v>20</v>
      </c>
      <c r="H27">
        <f t="shared" si="1"/>
        <v>-4.8000000000000043</v>
      </c>
    </row>
    <row r="29" spans="1:8" x14ac:dyDescent="0.25">
      <c r="A29" s="2" t="s">
        <v>6</v>
      </c>
      <c r="B29" t="s">
        <v>39</v>
      </c>
    </row>
    <row r="30" spans="1:8" x14ac:dyDescent="0.25">
      <c r="A30" s="2" t="s">
        <v>47</v>
      </c>
      <c r="B30" t="s">
        <v>29</v>
      </c>
    </row>
    <row r="31" spans="1:8" x14ac:dyDescent="0.25">
      <c r="A31" s="2" t="s">
        <v>48</v>
      </c>
      <c r="B31" t="s">
        <v>29</v>
      </c>
    </row>
    <row r="32" spans="1:8" x14ac:dyDescent="0.25">
      <c r="A32" s="2" t="s">
        <v>49</v>
      </c>
      <c r="B32" t="s">
        <v>29</v>
      </c>
    </row>
    <row r="33" spans="1:2" x14ac:dyDescent="0.25">
      <c r="A33" s="2" t="s">
        <v>50</v>
      </c>
      <c r="B33" t="s">
        <v>29</v>
      </c>
    </row>
    <row r="34" spans="1:2" x14ac:dyDescent="0.25">
      <c r="A34" s="2" t="s">
        <v>9</v>
      </c>
      <c r="B34" t="s">
        <v>29</v>
      </c>
    </row>
    <row r="35" spans="1:2" x14ac:dyDescent="0.25">
      <c r="A35" s="2" t="s">
        <v>10</v>
      </c>
      <c r="B35" t="s">
        <v>29</v>
      </c>
    </row>
    <row r="36" spans="1:2" x14ac:dyDescent="0.25">
      <c r="A36" s="2" t="s">
        <v>11</v>
      </c>
      <c r="B36" t="s">
        <v>29</v>
      </c>
    </row>
    <row r="37" spans="1:2" x14ac:dyDescent="0.25">
      <c r="A37" s="2" t="s">
        <v>52</v>
      </c>
    </row>
    <row r="38" spans="1:2" x14ac:dyDescent="0.25">
      <c r="A38" s="2" t="s">
        <v>12</v>
      </c>
    </row>
    <row r="39" spans="1:2" x14ac:dyDescent="0.25">
      <c r="A39" s="2" t="s">
        <v>51</v>
      </c>
    </row>
    <row r="40" spans="1:2" x14ac:dyDescent="0.25">
      <c r="A40" s="2" t="s">
        <v>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0"/>
  <sheetViews>
    <sheetView workbookViewId="0">
      <selection activeCell="D28" sqref="D28"/>
    </sheetView>
  </sheetViews>
  <sheetFormatPr defaultRowHeight="15" x14ac:dyDescent="0.25"/>
  <cols>
    <col min="1" max="1" width="31.42578125" customWidth="1"/>
    <col min="6" max="6" width="13.7109375" customWidth="1"/>
    <col min="7" max="7" width="13.42578125" customWidth="1"/>
    <col min="8" max="8" width="14" customWidth="1"/>
  </cols>
  <sheetData>
    <row r="1" spans="1:8" x14ac:dyDescent="0.25">
      <c r="B1" s="7" t="s">
        <v>40</v>
      </c>
      <c r="C1" s="7" t="s">
        <v>41</v>
      </c>
      <c r="D1" s="7" t="s">
        <v>45</v>
      </c>
      <c r="F1" s="8" t="s">
        <v>43</v>
      </c>
      <c r="G1" s="8" t="s">
        <v>42</v>
      </c>
      <c r="H1" s="8" t="s">
        <v>44</v>
      </c>
    </row>
    <row r="2" spans="1:8" x14ac:dyDescent="0.25">
      <c r="A2" s="2" t="s">
        <v>19</v>
      </c>
      <c r="B2">
        <v>187</v>
      </c>
    </row>
    <row r="3" spans="1:8" x14ac:dyDescent="0.25">
      <c r="A3" s="2" t="s">
        <v>20</v>
      </c>
      <c r="B3">
        <v>100.8</v>
      </c>
      <c r="C3">
        <v>100.8</v>
      </c>
      <c r="D3">
        <v>103.3</v>
      </c>
      <c r="F3">
        <f>D3-B3</f>
        <v>2.5</v>
      </c>
      <c r="G3">
        <f>C3-B3</f>
        <v>0</v>
      </c>
      <c r="H3">
        <f>D3-C3</f>
        <v>2.5</v>
      </c>
    </row>
    <row r="4" spans="1:8" x14ac:dyDescent="0.25">
      <c r="A4" s="2"/>
    </row>
    <row r="5" spans="1:8" x14ac:dyDescent="0.25">
      <c r="A5" s="2" t="s">
        <v>0</v>
      </c>
      <c r="B5">
        <v>1</v>
      </c>
      <c r="D5">
        <v>1</v>
      </c>
    </row>
    <row r="6" spans="1:8" x14ac:dyDescent="0.25">
      <c r="A6" s="2"/>
    </row>
    <row r="7" spans="1:8" x14ac:dyDescent="0.25">
      <c r="A7" s="2"/>
    </row>
    <row r="8" spans="1:8" x14ac:dyDescent="0.25">
      <c r="A8" s="2" t="s">
        <v>1</v>
      </c>
    </row>
    <row r="9" spans="1:8" x14ac:dyDescent="0.25">
      <c r="A9" s="1" t="s">
        <v>14</v>
      </c>
      <c r="B9">
        <v>52.5</v>
      </c>
      <c r="C9">
        <v>52.8</v>
      </c>
      <c r="D9">
        <v>53.2</v>
      </c>
    </row>
    <row r="10" spans="1:8" x14ac:dyDescent="0.25">
      <c r="A10" s="1" t="s">
        <v>15</v>
      </c>
      <c r="B10">
        <v>27.6</v>
      </c>
      <c r="C10">
        <v>27.7</v>
      </c>
      <c r="D10">
        <v>28.4</v>
      </c>
    </row>
    <row r="11" spans="1:8" x14ac:dyDescent="0.25">
      <c r="A11" s="1" t="s">
        <v>16</v>
      </c>
      <c r="B11">
        <v>24.9</v>
      </c>
      <c r="C11">
        <v>25.1</v>
      </c>
      <c r="D11">
        <v>24.8</v>
      </c>
    </row>
    <row r="12" spans="1:8" x14ac:dyDescent="0.25">
      <c r="A12" s="1" t="s">
        <v>17</v>
      </c>
      <c r="B12">
        <v>29.1</v>
      </c>
      <c r="C12">
        <v>28.8</v>
      </c>
      <c r="D12">
        <v>30.6</v>
      </c>
      <c r="F12">
        <f>D12-B12</f>
        <v>1.5</v>
      </c>
      <c r="G12">
        <f t="shared" ref="G12:H14" si="0">C12-B12</f>
        <v>-0.30000000000000071</v>
      </c>
      <c r="H12">
        <f t="shared" si="0"/>
        <v>1.8000000000000007</v>
      </c>
    </row>
    <row r="13" spans="1:8" x14ac:dyDescent="0.25">
      <c r="A13" s="1" t="s">
        <v>18</v>
      </c>
      <c r="B13">
        <v>71.7</v>
      </c>
      <c r="C13">
        <v>72</v>
      </c>
      <c r="D13">
        <v>72.7</v>
      </c>
      <c r="F13">
        <f>D13-B13</f>
        <v>1</v>
      </c>
      <c r="G13">
        <f t="shared" si="0"/>
        <v>0.29999999999999716</v>
      </c>
      <c r="H13">
        <f t="shared" si="0"/>
        <v>0.70000000000000284</v>
      </c>
    </row>
    <row r="14" spans="1:8" x14ac:dyDescent="0.25">
      <c r="A14" s="1" t="s">
        <v>38</v>
      </c>
      <c r="B14">
        <v>28.9</v>
      </c>
      <c r="C14">
        <v>28.6</v>
      </c>
      <c r="F14">
        <f>D14-B14</f>
        <v>-28.9</v>
      </c>
      <c r="G14">
        <f t="shared" si="0"/>
        <v>-0.29999999999999716</v>
      </c>
      <c r="H14">
        <f t="shared" si="0"/>
        <v>-28.6</v>
      </c>
    </row>
    <row r="15" spans="1:8" x14ac:dyDescent="0.25">
      <c r="A15" s="3" t="s">
        <v>2</v>
      </c>
    </row>
    <row r="16" spans="1:8" x14ac:dyDescent="0.25">
      <c r="A16" s="1" t="s">
        <v>21</v>
      </c>
      <c r="B16">
        <v>61.18</v>
      </c>
      <c r="D16">
        <v>63.59</v>
      </c>
      <c r="F16">
        <f>D16-B16</f>
        <v>2.4100000000000037</v>
      </c>
    </row>
    <row r="17" spans="1:8" x14ac:dyDescent="0.25">
      <c r="A17" s="1" t="s">
        <v>17</v>
      </c>
      <c r="B17">
        <v>36.5</v>
      </c>
      <c r="D17">
        <v>36.54</v>
      </c>
      <c r="F17">
        <f>D17-B17</f>
        <v>3.9999999999999147E-2</v>
      </c>
    </row>
    <row r="18" spans="1:8" x14ac:dyDescent="0.25">
      <c r="A18" s="1" t="s">
        <v>38</v>
      </c>
      <c r="B18">
        <v>37.4</v>
      </c>
      <c r="D18">
        <v>36.5</v>
      </c>
      <c r="F18">
        <f>D18-B18</f>
        <v>-0.89999999999999858</v>
      </c>
    </row>
    <row r="19" spans="1:8" x14ac:dyDescent="0.25">
      <c r="A19" s="3" t="s">
        <v>3</v>
      </c>
    </row>
    <row r="20" spans="1:8" x14ac:dyDescent="0.25">
      <c r="A20" s="4" t="s">
        <v>22</v>
      </c>
      <c r="B20">
        <v>2.4900000000000002</v>
      </c>
      <c r="D20">
        <v>2.37</v>
      </c>
      <c r="F20">
        <f>D20-B20</f>
        <v>-0.12000000000000011</v>
      </c>
    </row>
    <row r="21" spans="1:8" x14ac:dyDescent="0.25">
      <c r="A21" s="4" t="s">
        <v>4</v>
      </c>
      <c r="B21">
        <v>21.3</v>
      </c>
      <c r="D21">
        <v>17.2</v>
      </c>
      <c r="F21">
        <f>D21-B21</f>
        <v>-4.1000000000000014</v>
      </c>
    </row>
    <row r="23" spans="1:8" x14ac:dyDescent="0.25">
      <c r="A23" s="2" t="s">
        <v>5</v>
      </c>
    </row>
    <row r="24" spans="1:8" x14ac:dyDescent="0.25">
      <c r="A24" s="1" t="s">
        <v>23</v>
      </c>
      <c r="B24">
        <v>176.6</v>
      </c>
      <c r="C24">
        <v>199</v>
      </c>
      <c r="D24">
        <v>109.5</v>
      </c>
      <c r="F24">
        <f>D24-B24</f>
        <v>-67.099999999999994</v>
      </c>
      <c r="G24">
        <f t="shared" ref="G24:H27" si="1">C24-B24</f>
        <v>22.400000000000006</v>
      </c>
      <c r="H24">
        <f t="shared" si="1"/>
        <v>-89.5</v>
      </c>
    </row>
    <row r="25" spans="1:8" x14ac:dyDescent="0.25">
      <c r="A25" s="1" t="s">
        <v>24</v>
      </c>
      <c r="B25">
        <v>93.2</v>
      </c>
      <c r="C25">
        <v>95.4</v>
      </c>
      <c r="D25">
        <v>73.400000000000006</v>
      </c>
      <c r="F25">
        <f>D25-B25</f>
        <v>-19.799999999999997</v>
      </c>
      <c r="G25">
        <f t="shared" si="1"/>
        <v>2.2000000000000028</v>
      </c>
      <c r="H25">
        <f t="shared" si="1"/>
        <v>-22</v>
      </c>
    </row>
    <row r="26" spans="1:8" x14ac:dyDescent="0.25">
      <c r="A26" s="1" t="s">
        <v>25</v>
      </c>
      <c r="B26">
        <v>143</v>
      </c>
      <c r="C26">
        <v>145.80000000000001</v>
      </c>
      <c r="D26">
        <v>104.9</v>
      </c>
      <c r="F26">
        <f>D26-B26</f>
        <v>-38.099999999999994</v>
      </c>
      <c r="G26">
        <f t="shared" si="1"/>
        <v>2.8000000000000114</v>
      </c>
      <c r="H26">
        <f t="shared" si="1"/>
        <v>-40.900000000000006</v>
      </c>
    </row>
    <row r="27" spans="1:8" x14ac:dyDescent="0.25">
      <c r="A27" s="1" t="s">
        <v>26</v>
      </c>
      <c r="B27">
        <v>78.3</v>
      </c>
      <c r="C27">
        <v>79.2</v>
      </c>
      <c r="D27">
        <v>67</v>
      </c>
      <c r="F27">
        <f>D27-B27</f>
        <v>-11.299999999999997</v>
      </c>
      <c r="G27">
        <f t="shared" si="1"/>
        <v>0.90000000000000568</v>
      </c>
      <c r="H27">
        <f t="shared" si="1"/>
        <v>-12.200000000000003</v>
      </c>
    </row>
    <row r="29" spans="1:8" x14ac:dyDescent="0.25">
      <c r="A29" s="2" t="s">
        <v>6</v>
      </c>
      <c r="B29" t="s">
        <v>32</v>
      </c>
    </row>
    <row r="30" spans="1:8" x14ac:dyDescent="0.25">
      <c r="A30" s="2" t="s">
        <v>47</v>
      </c>
      <c r="B30" t="s">
        <v>29</v>
      </c>
    </row>
    <row r="31" spans="1:8" x14ac:dyDescent="0.25">
      <c r="A31" s="2" t="s">
        <v>48</v>
      </c>
      <c r="B31" t="s">
        <v>29</v>
      </c>
    </row>
    <row r="32" spans="1:8" x14ac:dyDescent="0.25">
      <c r="A32" s="2" t="s">
        <v>49</v>
      </c>
      <c r="B32" t="s">
        <v>29</v>
      </c>
    </row>
    <row r="33" spans="1:2" x14ac:dyDescent="0.25">
      <c r="A33" s="2" t="s">
        <v>50</v>
      </c>
      <c r="B33" t="s">
        <v>29</v>
      </c>
    </row>
    <row r="34" spans="1:2" x14ac:dyDescent="0.25">
      <c r="A34" s="2" t="s">
        <v>9</v>
      </c>
      <c r="B34" t="s">
        <v>29</v>
      </c>
    </row>
    <row r="35" spans="1:2" x14ac:dyDescent="0.25">
      <c r="A35" s="2" t="s">
        <v>10</v>
      </c>
      <c r="B35" t="s">
        <v>29</v>
      </c>
    </row>
    <row r="36" spans="1:2" x14ac:dyDescent="0.25">
      <c r="A36" s="2" t="s">
        <v>11</v>
      </c>
      <c r="B36" t="s">
        <v>29</v>
      </c>
    </row>
    <row r="37" spans="1:2" x14ac:dyDescent="0.25">
      <c r="A37" s="2" t="s">
        <v>52</v>
      </c>
    </row>
    <row r="38" spans="1:2" x14ac:dyDescent="0.25">
      <c r="A38" s="2" t="s">
        <v>12</v>
      </c>
    </row>
    <row r="39" spans="1:2" x14ac:dyDescent="0.25">
      <c r="A39" s="2" t="s">
        <v>51</v>
      </c>
    </row>
    <row r="40" spans="1:2" x14ac:dyDescent="0.25">
      <c r="A40" s="2" t="s">
        <v>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0"/>
  <sheetViews>
    <sheetView workbookViewId="0">
      <selection activeCell="B40" sqref="B40"/>
    </sheetView>
  </sheetViews>
  <sheetFormatPr defaultRowHeight="15" x14ac:dyDescent="0.25"/>
  <cols>
    <col min="1" max="1" width="31.7109375" customWidth="1"/>
    <col min="3" max="3" width="12.140625" customWidth="1"/>
    <col min="6" max="6" width="13.7109375" customWidth="1"/>
    <col min="7" max="7" width="13.5703125" customWidth="1"/>
    <col min="8" max="8" width="13.42578125" customWidth="1"/>
  </cols>
  <sheetData>
    <row r="1" spans="1:8" ht="15" customHeight="1" x14ac:dyDescent="0.35">
      <c r="A1" s="6"/>
      <c r="B1" s="7" t="s">
        <v>40</v>
      </c>
      <c r="C1" s="7" t="s">
        <v>41</v>
      </c>
      <c r="D1" s="7" t="s">
        <v>45</v>
      </c>
      <c r="F1" s="8" t="s">
        <v>43</v>
      </c>
      <c r="G1" s="8" t="s">
        <v>42</v>
      </c>
      <c r="H1" s="8" t="s">
        <v>44</v>
      </c>
    </row>
    <row r="2" spans="1:8" x14ac:dyDescent="0.25">
      <c r="A2" s="2" t="s">
        <v>19</v>
      </c>
      <c r="B2">
        <v>172</v>
      </c>
    </row>
    <row r="3" spans="1:8" x14ac:dyDescent="0.25">
      <c r="A3" s="2" t="s">
        <v>20</v>
      </c>
      <c r="B3">
        <v>87.6</v>
      </c>
      <c r="C3">
        <v>90</v>
      </c>
      <c r="D3">
        <v>89.4</v>
      </c>
      <c r="F3">
        <f>D3-B3</f>
        <v>1.8000000000000114</v>
      </c>
      <c r="G3">
        <f>C3-B3</f>
        <v>2.4000000000000057</v>
      </c>
      <c r="H3">
        <f>D3-C3</f>
        <v>-0.59999999999999432</v>
      </c>
    </row>
    <row r="4" spans="1:8" x14ac:dyDescent="0.25">
      <c r="A4" s="2"/>
    </row>
    <row r="5" spans="1:8" x14ac:dyDescent="0.25">
      <c r="A5" s="2" t="s">
        <v>0</v>
      </c>
      <c r="B5">
        <v>1.018</v>
      </c>
      <c r="C5">
        <v>1.018</v>
      </c>
      <c r="D5">
        <v>1.018</v>
      </c>
    </row>
    <row r="6" spans="1:8" x14ac:dyDescent="0.25">
      <c r="A6" s="2"/>
    </row>
    <row r="7" spans="1:8" x14ac:dyDescent="0.25">
      <c r="A7" s="2"/>
    </row>
    <row r="8" spans="1:8" x14ac:dyDescent="0.25">
      <c r="A8" s="2" t="s">
        <v>1</v>
      </c>
    </row>
    <row r="9" spans="1:8" x14ac:dyDescent="0.25">
      <c r="A9" s="1" t="s">
        <v>14</v>
      </c>
      <c r="B9">
        <v>35.5</v>
      </c>
      <c r="C9">
        <v>36.200000000000003</v>
      </c>
      <c r="D9">
        <v>36.700000000000003</v>
      </c>
    </row>
    <row r="10" spans="1:8" x14ac:dyDescent="0.25">
      <c r="A10" s="1" t="s">
        <v>15</v>
      </c>
      <c r="B10">
        <v>19.100000000000001</v>
      </c>
      <c r="C10">
        <v>19.3</v>
      </c>
      <c r="D10">
        <v>20.2</v>
      </c>
    </row>
    <row r="11" spans="1:8" x14ac:dyDescent="0.25">
      <c r="A11" s="1" t="s">
        <v>16</v>
      </c>
      <c r="B11">
        <v>16.399999999999999</v>
      </c>
      <c r="C11">
        <v>16.899999999999999</v>
      </c>
      <c r="D11">
        <v>16.5</v>
      </c>
    </row>
    <row r="12" spans="1:8" x14ac:dyDescent="0.25">
      <c r="A12" s="1" t="s">
        <v>17</v>
      </c>
      <c r="B12">
        <v>39.1</v>
      </c>
      <c r="C12">
        <v>40.4</v>
      </c>
      <c r="D12">
        <v>39.200000000000003</v>
      </c>
      <c r="F12">
        <f>D12-B12</f>
        <v>0.10000000000000142</v>
      </c>
      <c r="G12">
        <f t="shared" ref="G12:H14" si="0">C12-B12</f>
        <v>1.2999999999999972</v>
      </c>
      <c r="H12">
        <f t="shared" si="0"/>
        <v>-1.1999999999999957</v>
      </c>
    </row>
    <row r="13" spans="1:8" x14ac:dyDescent="0.25">
      <c r="A13" s="1" t="s">
        <v>18</v>
      </c>
      <c r="B13">
        <v>48.5</v>
      </c>
      <c r="C13">
        <v>49.6</v>
      </c>
      <c r="D13">
        <v>50.2</v>
      </c>
      <c r="F13">
        <f>D13-B13</f>
        <v>1.7000000000000028</v>
      </c>
      <c r="G13">
        <f t="shared" si="0"/>
        <v>1.1000000000000014</v>
      </c>
      <c r="H13">
        <f t="shared" si="0"/>
        <v>0.60000000000000142</v>
      </c>
    </row>
    <row r="14" spans="1:8" x14ac:dyDescent="0.25">
      <c r="A14" s="1" t="s">
        <v>38</v>
      </c>
      <c r="B14">
        <v>44.6</v>
      </c>
      <c r="C14">
        <v>44.9</v>
      </c>
      <c r="D14">
        <v>43.8</v>
      </c>
      <c r="F14">
        <f>D14-B14</f>
        <v>-0.80000000000000426</v>
      </c>
      <c r="G14">
        <f t="shared" si="0"/>
        <v>0.29999999999999716</v>
      </c>
      <c r="H14">
        <f t="shared" si="0"/>
        <v>-1.1000000000000014</v>
      </c>
    </row>
    <row r="15" spans="1:8" x14ac:dyDescent="0.25">
      <c r="A15" s="3" t="s">
        <v>2</v>
      </c>
    </row>
    <row r="16" spans="1:8" x14ac:dyDescent="0.25">
      <c r="A16" s="1" t="s">
        <v>21</v>
      </c>
      <c r="B16">
        <v>43.73</v>
      </c>
      <c r="D16">
        <v>44.81</v>
      </c>
      <c r="F16">
        <f>D16-B16</f>
        <v>1.0800000000000054</v>
      </c>
    </row>
    <row r="17" spans="1:8" x14ac:dyDescent="0.25">
      <c r="A17" s="1" t="s">
        <v>17</v>
      </c>
      <c r="B17">
        <v>41.6</v>
      </c>
      <c r="D17">
        <v>42.22</v>
      </c>
      <c r="F17">
        <f>D17-B17</f>
        <v>0.61999999999999744</v>
      </c>
    </row>
    <row r="18" spans="1:8" x14ac:dyDescent="0.25">
      <c r="A18" s="1" t="s">
        <v>38</v>
      </c>
      <c r="B18">
        <v>48.8</v>
      </c>
      <c r="D18">
        <v>48.5</v>
      </c>
      <c r="F18">
        <f>D18-B18</f>
        <v>-0.29999999999999716</v>
      </c>
    </row>
    <row r="19" spans="1:8" x14ac:dyDescent="0.25">
      <c r="A19" s="3" t="s">
        <v>3</v>
      </c>
    </row>
    <row r="20" spans="1:8" x14ac:dyDescent="0.25">
      <c r="A20" s="4" t="s">
        <v>22</v>
      </c>
      <c r="B20">
        <v>2</v>
      </c>
      <c r="D20">
        <v>2.31</v>
      </c>
      <c r="F20">
        <f>D20-B20</f>
        <v>0.31000000000000005</v>
      </c>
    </row>
    <row r="21" spans="1:8" x14ac:dyDescent="0.25">
      <c r="A21" s="4" t="s">
        <v>4</v>
      </c>
      <c r="B21">
        <v>21.1</v>
      </c>
      <c r="D21">
        <v>16.399999999999999</v>
      </c>
      <c r="F21">
        <f>D21-B21</f>
        <v>-4.7000000000000028</v>
      </c>
    </row>
    <row r="23" spans="1:8" x14ac:dyDescent="0.25">
      <c r="A23" s="2" t="s">
        <v>5</v>
      </c>
    </row>
    <row r="24" spans="1:8" x14ac:dyDescent="0.25">
      <c r="A24" s="1" t="s">
        <v>23</v>
      </c>
      <c r="B24">
        <v>108.6</v>
      </c>
      <c r="C24">
        <v>115.7</v>
      </c>
      <c r="D24">
        <v>99.5</v>
      </c>
      <c r="F24">
        <f>D24-B24</f>
        <v>-9.0999999999999943</v>
      </c>
      <c r="G24">
        <f t="shared" ref="G24:H27" si="1">C24-B24</f>
        <v>7.1000000000000085</v>
      </c>
      <c r="H24">
        <f t="shared" si="1"/>
        <v>-16.200000000000003</v>
      </c>
    </row>
    <row r="25" spans="1:8" x14ac:dyDescent="0.25">
      <c r="A25" s="1" t="s">
        <v>24</v>
      </c>
      <c r="B25">
        <v>36.9</v>
      </c>
      <c r="C25">
        <v>38</v>
      </c>
      <c r="D25">
        <v>34.700000000000003</v>
      </c>
      <c r="F25">
        <f>D25-B25</f>
        <v>-2.1999999999999957</v>
      </c>
      <c r="G25">
        <f t="shared" si="1"/>
        <v>1.1000000000000014</v>
      </c>
      <c r="H25">
        <f t="shared" si="1"/>
        <v>-3.2999999999999972</v>
      </c>
    </row>
    <row r="26" spans="1:8" x14ac:dyDescent="0.25">
      <c r="A26" s="1" t="s">
        <v>25</v>
      </c>
      <c r="B26">
        <v>72.3</v>
      </c>
      <c r="C26">
        <v>74.7</v>
      </c>
      <c r="D26">
        <v>82.7</v>
      </c>
      <c r="F26">
        <f>D26-B26</f>
        <v>10.400000000000006</v>
      </c>
      <c r="G26">
        <f t="shared" si="1"/>
        <v>2.4000000000000057</v>
      </c>
      <c r="H26">
        <f t="shared" si="1"/>
        <v>8</v>
      </c>
    </row>
    <row r="27" spans="1:8" x14ac:dyDescent="0.25">
      <c r="A27" s="1" t="s">
        <v>26</v>
      </c>
      <c r="B27">
        <v>31.9</v>
      </c>
      <c r="C27">
        <v>35.9</v>
      </c>
      <c r="D27">
        <v>37.5</v>
      </c>
      <c r="F27">
        <f>D27-B27</f>
        <v>5.6000000000000014</v>
      </c>
      <c r="G27">
        <f t="shared" si="1"/>
        <v>4</v>
      </c>
      <c r="H27">
        <f t="shared" si="1"/>
        <v>1.6000000000000014</v>
      </c>
    </row>
    <row r="29" spans="1:8" x14ac:dyDescent="0.25">
      <c r="A29" s="2" t="s">
        <v>6</v>
      </c>
      <c r="B29" t="s">
        <v>32</v>
      </c>
    </row>
    <row r="30" spans="1:8" x14ac:dyDescent="0.25">
      <c r="A30" s="2" t="s">
        <v>47</v>
      </c>
      <c r="B30" t="s">
        <v>29</v>
      </c>
    </row>
    <row r="31" spans="1:8" x14ac:dyDescent="0.25">
      <c r="A31" s="2" t="s">
        <v>48</v>
      </c>
      <c r="B31" t="s">
        <v>29</v>
      </c>
    </row>
    <row r="32" spans="1:8" x14ac:dyDescent="0.25">
      <c r="A32" s="2" t="s">
        <v>49</v>
      </c>
      <c r="B32" t="s">
        <v>29</v>
      </c>
    </row>
    <row r="33" spans="1:2" x14ac:dyDescent="0.25">
      <c r="A33" s="2" t="s">
        <v>50</v>
      </c>
      <c r="B33" t="s">
        <v>29</v>
      </c>
    </row>
    <row r="34" spans="1:2" x14ac:dyDescent="0.25">
      <c r="A34" s="2" t="s">
        <v>9</v>
      </c>
      <c r="B34" t="s">
        <v>29</v>
      </c>
    </row>
    <row r="35" spans="1:2" x14ac:dyDescent="0.25">
      <c r="A35" s="2" t="s">
        <v>10</v>
      </c>
      <c r="B35" t="s">
        <v>29</v>
      </c>
    </row>
    <row r="36" spans="1:2" x14ac:dyDescent="0.25">
      <c r="A36" s="2" t="s">
        <v>11</v>
      </c>
      <c r="B36" t="s">
        <v>29</v>
      </c>
    </row>
    <row r="37" spans="1:2" x14ac:dyDescent="0.25">
      <c r="A37" s="2" t="s">
        <v>52</v>
      </c>
      <c r="B37" t="s">
        <v>29</v>
      </c>
    </row>
    <row r="38" spans="1:2" x14ac:dyDescent="0.25">
      <c r="A38" s="2" t="s">
        <v>12</v>
      </c>
      <c r="B38" t="s">
        <v>29</v>
      </c>
    </row>
    <row r="39" spans="1:2" x14ac:dyDescent="0.25">
      <c r="A39" s="2" t="s">
        <v>51</v>
      </c>
      <c r="B39" t="s">
        <v>29</v>
      </c>
    </row>
    <row r="40" spans="1:2" x14ac:dyDescent="0.25">
      <c r="A40" s="2" t="s">
        <v>46</v>
      </c>
      <c r="B40" t="s">
        <v>29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PPS001</vt:lpstr>
      <vt:lpstr>PPS002</vt:lpstr>
      <vt:lpstr>PPS003</vt:lpstr>
      <vt:lpstr>PPS004</vt:lpstr>
      <vt:lpstr>PPS005</vt:lpstr>
      <vt:lpstr>PPS006</vt:lpstr>
      <vt:lpstr>PPS007</vt:lpstr>
      <vt:lpstr>PPS008</vt:lpstr>
      <vt:lpstr>PPS009</vt:lpstr>
      <vt:lpstr>PPS010</vt:lpstr>
      <vt:lpstr>PPS011</vt:lpstr>
      <vt:lpstr>PPS012</vt:lpstr>
      <vt:lpstr>PPS013</vt:lpstr>
      <vt:lpstr>PPS014</vt:lpstr>
      <vt:lpstr>PPS015</vt:lpstr>
      <vt:lpstr>PPS016</vt:lpstr>
      <vt:lpstr>PPS017</vt:lpstr>
      <vt:lpstr>PPS018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Donny</dc:creator>
  <cp:lastModifiedBy>Donnie Lamb</cp:lastModifiedBy>
  <dcterms:created xsi:type="dcterms:W3CDTF">2019-11-13T18:54:40Z</dcterms:created>
  <dcterms:modified xsi:type="dcterms:W3CDTF">2020-01-16T16:35:02Z</dcterms:modified>
</cp:coreProperties>
</file>