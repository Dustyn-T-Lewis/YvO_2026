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mdr0024_auburn_edu/Documents/Desktop/1_Auburn University files (2-3-22)/1a_Papers and data sets/1a_DONE papers/EAA versus Whey training study (Ruple, 2020)/"/>
    </mc:Choice>
  </mc:AlternateContent>
  <xr:revisionPtr revIDLastSave="283" documentId="11_2E6DA5B75406562244126A75823F5F8AA436EB4F" xr6:coauthVersionLast="47" xr6:coauthVersionMax="47" xr10:uidLastSave="{28290E10-286A-4F00-9017-EF9F7606C7C1}"/>
  <bookViews>
    <workbookView xWindow="-120" yWindow="-120" windowWidth="29040" windowHeight="15720" activeTab="1" xr2:uid="{00000000-000D-0000-FFFF-FFFF00000000}"/>
  </bookViews>
  <sheets>
    <sheet name="Outline for SPSS" sheetId="3" r:id="rId1"/>
    <sheet name="SPSS results" sheetId="5" r:id="rId2"/>
    <sheet name="Body Comp, US, pQCT (wo20)" sheetId="6" r:id="rId3"/>
    <sheet name="1RMs" sheetId="4" r:id="rId4"/>
    <sheet name="Body comp and ultrasound (w20)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9" i="4" l="1"/>
  <c r="BL49" i="6"/>
  <c r="BG49" i="6"/>
  <c r="BB49" i="6"/>
  <c r="AN49" i="6"/>
  <c r="AK49" i="6"/>
  <c r="AH49" i="6"/>
  <c r="BL32" i="6"/>
  <c r="BG32" i="6"/>
  <c r="BB32" i="6"/>
  <c r="AN32" i="6"/>
  <c r="AK32" i="6"/>
  <c r="AH32" i="6"/>
  <c r="BL14" i="6"/>
  <c r="BG14" i="6"/>
  <c r="BB14" i="6"/>
  <c r="AN14" i="6"/>
  <c r="AK14" i="6"/>
  <c r="AH14" i="6"/>
  <c r="BP47" i="6"/>
  <c r="BF47" i="6"/>
  <c r="BA47" i="6"/>
  <c r="AW47" i="6"/>
  <c r="AU47" i="6"/>
  <c r="AS47" i="6"/>
  <c r="AQ47" i="6"/>
  <c r="AM47" i="6"/>
  <c r="AJ47" i="6"/>
  <c r="AG47" i="6"/>
  <c r="BX46" i="6"/>
  <c r="BW46" i="6"/>
  <c r="BV46" i="6"/>
  <c r="BU46" i="6"/>
  <c r="BT46" i="6"/>
  <c r="BS46" i="6"/>
  <c r="BR46" i="6"/>
  <c r="BQ46" i="6"/>
  <c r="BP46" i="6"/>
  <c r="BO46" i="6"/>
  <c r="BN46" i="6"/>
  <c r="BM46" i="6"/>
  <c r="BK46" i="6"/>
  <c r="BI46" i="6"/>
  <c r="BH46" i="6"/>
  <c r="BF46" i="6"/>
  <c r="BE46" i="6"/>
  <c r="BD46" i="6"/>
  <c r="BC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J46" i="6"/>
  <c r="AI46" i="6"/>
  <c r="AG46" i="6"/>
  <c r="AF46" i="6"/>
  <c r="BX45" i="6"/>
  <c r="BW45" i="6"/>
  <c r="BV45" i="6"/>
  <c r="BU45" i="6"/>
  <c r="BT45" i="6"/>
  <c r="BS45" i="6"/>
  <c r="BR45" i="6"/>
  <c r="BQ45" i="6"/>
  <c r="BP45" i="6"/>
  <c r="BO45" i="6"/>
  <c r="BN45" i="6"/>
  <c r="BM45" i="6"/>
  <c r="BI45" i="6"/>
  <c r="BH45" i="6"/>
  <c r="BF45" i="6"/>
  <c r="BE45" i="6"/>
  <c r="BD45" i="6"/>
  <c r="BC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M45" i="6"/>
  <c r="AL45" i="6"/>
  <c r="AK45" i="6"/>
  <c r="AJ45" i="6"/>
  <c r="AI45" i="6"/>
  <c r="AH45" i="6"/>
  <c r="AG45" i="6"/>
  <c r="AF45" i="6"/>
  <c r="BK44" i="6"/>
  <c r="BL44" i="6" s="1"/>
  <c r="BJ44" i="6"/>
  <c r="BG44" i="6"/>
  <c r="BB44" i="6"/>
  <c r="AN44" i="6"/>
  <c r="AK44" i="6"/>
  <c r="AH44" i="6"/>
  <c r="BK43" i="6"/>
  <c r="BL43" i="6" s="1"/>
  <c r="BJ43" i="6"/>
  <c r="BG43" i="6"/>
  <c r="BB43" i="6"/>
  <c r="AN43" i="6"/>
  <c r="AK43" i="6"/>
  <c r="AH43" i="6"/>
  <c r="BK42" i="6"/>
  <c r="BL42" i="6" s="1"/>
  <c r="BJ42" i="6"/>
  <c r="BG42" i="6"/>
  <c r="BB42" i="6"/>
  <c r="AN42" i="6"/>
  <c r="AK42" i="6"/>
  <c r="AH42" i="6"/>
  <c r="BK41" i="6"/>
  <c r="BL41" i="6" s="1"/>
  <c r="BJ41" i="6"/>
  <c r="BG41" i="6"/>
  <c r="BB41" i="6"/>
  <c r="AN41" i="6"/>
  <c r="AK41" i="6"/>
  <c r="AH41" i="6"/>
  <c r="BK40" i="6"/>
  <c r="BL40" i="6" s="1"/>
  <c r="BJ40" i="6"/>
  <c r="BG40" i="6"/>
  <c r="BB40" i="6"/>
  <c r="AN40" i="6"/>
  <c r="AK40" i="6"/>
  <c r="AH40" i="6"/>
  <c r="BK39" i="6"/>
  <c r="BL39" i="6" s="1"/>
  <c r="BJ39" i="6"/>
  <c r="BG39" i="6"/>
  <c r="BB39" i="6"/>
  <c r="AN39" i="6"/>
  <c r="AK39" i="6"/>
  <c r="AH39" i="6"/>
  <c r="BK38" i="6"/>
  <c r="BL38" i="6" s="1"/>
  <c r="BJ38" i="6"/>
  <c r="BG38" i="6"/>
  <c r="BB38" i="6"/>
  <c r="AN38" i="6"/>
  <c r="AK38" i="6"/>
  <c r="AH38" i="6"/>
  <c r="BK37" i="6"/>
  <c r="BL37" i="6" s="1"/>
  <c r="BJ37" i="6"/>
  <c r="BG37" i="6"/>
  <c r="BB37" i="6"/>
  <c r="AN37" i="6"/>
  <c r="AK37" i="6"/>
  <c r="AH37" i="6"/>
  <c r="BK36" i="6"/>
  <c r="BL36" i="6" s="1"/>
  <c r="BJ36" i="6"/>
  <c r="BG36" i="6"/>
  <c r="BB36" i="6"/>
  <c r="AN36" i="6"/>
  <c r="AK36" i="6"/>
  <c r="AH36" i="6"/>
  <c r="BK35" i="6"/>
  <c r="BL35" i="6" s="1"/>
  <c r="BJ35" i="6"/>
  <c r="BG35" i="6"/>
  <c r="BB35" i="6"/>
  <c r="AN35" i="6"/>
  <c r="AK35" i="6"/>
  <c r="AH35" i="6"/>
  <c r="BK34" i="6"/>
  <c r="BK45" i="6" s="1"/>
  <c r="BJ34" i="6"/>
  <c r="BK47" i="6" s="1"/>
  <c r="BG34" i="6"/>
  <c r="BG45" i="6" s="1"/>
  <c r="BB34" i="6"/>
  <c r="BB46" i="6" s="1"/>
  <c r="AN34" i="6"/>
  <c r="AN45" i="6" s="1"/>
  <c r="AK34" i="6"/>
  <c r="AK46" i="6" s="1"/>
  <c r="AH34" i="6"/>
  <c r="AH46" i="6" s="1"/>
  <c r="BP30" i="6"/>
  <c r="BF30" i="6"/>
  <c r="BA30" i="6"/>
  <c r="AW30" i="6"/>
  <c r="AU30" i="6"/>
  <c r="AS30" i="6"/>
  <c r="AQ30" i="6"/>
  <c r="AM30" i="6"/>
  <c r="AJ30" i="6"/>
  <c r="AG30" i="6"/>
  <c r="BX29" i="6"/>
  <c r="BW29" i="6"/>
  <c r="BV29" i="6"/>
  <c r="BU29" i="6"/>
  <c r="BT29" i="6"/>
  <c r="BS29" i="6"/>
  <c r="BR29" i="6"/>
  <c r="BQ29" i="6"/>
  <c r="BP29" i="6"/>
  <c r="BO29" i="6"/>
  <c r="BN29" i="6"/>
  <c r="BM29" i="6"/>
  <c r="BI29" i="6"/>
  <c r="BH29" i="6"/>
  <c r="BG29" i="6"/>
  <c r="BF29" i="6"/>
  <c r="BE29" i="6"/>
  <c r="BD29" i="6"/>
  <c r="BC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M29" i="6"/>
  <c r="AL29" i="6"/>
  <c r="AJ29" i="6"/>
  <c r="AI29" i="6"/>
  <c r="AG29" i="6"/>
  <c r="AF29" i="6"/>
  <c r="BX28" i="6"/>
  <c r="BW28" i="6"/>
  <c r="BV28" i="6"/>
  <c r="BU28" i="6"/>
  <c r="BT28" i="6"/>
  <c r="BS28" i="6"/>
  <c r="BR28" i="6"/>
  <c r="BQ28" i="6"/>
  <c r="BP28" i="6"/>
  <c r="BO28" i="6"/>
  <c r="BN28" i="6"/>
  <c r="BM28" i="6"/>
  <c r="BI28" i="6"/>
  <c r="BH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M28" i="6"/>
  <c r="AL28" i="6"/>
  <c r="AJ28" i="6"/>
  <c r="AI28" i="6"/>
  <c r="AH28" i="6"/>
  <c r="AG28" i="6"/>
  <c r="AF28" i="6"/>
  <c r="BK27" i="6"/>
  <c r="BL27" i="6" s="1"/>
  <c r="BJ27" i="6"/>
  <c r="BG27" i="6"/>
  <c r="BB27" i="6"/>
  <c r="AN27" i="6"/>
  <c r="AK27" i="6"/>
  <c r="AH27" i="6"/>
  <c r="BK26" i="6"/>
  <c r="BL26" i="6" s="1"/>
  <c r="BJ26" i="6"/>
  <c r="BG26" i="6"/>
  <c r="BB26" i="6"/>
  <c r="AN26" i="6"/>
  <c r="AK26" i="6"/>
  <c r="AH26" i="6"/>
  <c r="BK25" i="6"/>
  <c r="BL25" i="6" s="1"/>
  <c r="BJ25" i="6"/>
  <c r="BG25" i="6"/>
  <c r="BB25" i="6"/>
  <c r="AN25" i="6"/>
  <c r="AK25" i="6"/>
  <c r="AH25" i="6"/>
  <c r="BK24" i="6"/>
  <c r="BL24" i="6" s="1"/>
  <c r="BJ24" i="6"/>
  <c r="BG24" i="6"/>
  <c r="BB24" i="6"/>
  <c r="AN24" i="6"/>
  <c r="AK24" i="6"/>
  <c r="AH24" i="6"/>
  <c r="BK23" i="6"/>
  <c r="BL23" i="6" s="1"/>
  <c r="BJ23" i="6"/>
  <c r="BG23" i="6"/>
  <c r="BB23" i="6"/>
  <c r="AN23" i="6"/>
  <c r="AK23" i="6"/>
  <c r="AH23" i="6"/>
  <c r="BK22" i="6"/>
  <c r="BL22" i="6" s="1"/>
  <c r="BJ22" i="6"/>
  <c r="BG22" i="6"/>
  <c r="BB22" i="6"/>
  <c r="AN22" i="6"/>
  <c r="AK22" i="6"/>
  <c r="AH22" i="6"/>
  <c r="BK21" i="6"/>
  <c r="BL21" i="6" s="1"/>
  <c r="BJ21" i="6"/>
  <c r="BG21" i="6"/>
  <c r="BB21" i="6"/>
  <c r="AN21" i="6"/>
  <c r="AK21" i="6"/>
  <c r="AH21" i="6"/>
  <c r="BK20" i="6"/>
  <c r="BL20" i="6" s="1"/>
  <c r="BJ20" i="6"/>
  <c r="BG20" i="6"/>
  <c r="BB20" i="6"/>
  <c r="AN20" i="6"/>
  <c r="AK20" i="6"/>
  <c r="AH20" i="6"/>
  <c r="BK19" i="6"/>
  <c r="BL19" i="6" s="1"/>
  <c r="BJ19" i="6"/>
  <c r="BG19" i="6"/>
  <c r="BB19" i="6"/>
  <c r="AN19" i="6"/>
  <c r="AK19" i="6"/>
  <c r="AH19" i="6"/>
  <c r="BK18" i="6"/>
  <c r="BL18" i="6" s="1"/>
  <c r="BJ18" i="6"/>
  <c r="BG18" i="6"/>
  <c r="BB18" i="6"/>
  <c r="AN18" i="6"/>
  <c r="AK18" i="6"/>
  <c r="AH18" i="6"/>
  <c r="BK17" i="6"/>
  <c r="BL17" i="6" s="1"/>
  <c r="BJ17" i="6"/>
  <c r="BG17" i="6"/>
  <c r="BB17" i="6"/>
  <c r="AN17" i="6"/>
  <c r="AK17" i="6"/>
  <c r="AH17" i="6"/>
  <c r="BK16" i="6"/>
  <c r="BK28" i="6" s="1"/>
  <c r="BJ16" i="6"/>
  <c r="BJ28" i="6" s="1"/>
  <c r="BG16" i="6"/>
  <c r="BG28" i="6" s="1"/>
  <c r="BB16" i="6"/>
  <c r="BB29" i="6" s="1"/>
  <c r="AN16" i="6"/>
  <c r="AN28" i="6" s="1"/>
  <c r="AK16" i="6"/>
  <c r="AK28" i="6" s="1"/>
  <c r="AH16" i="6"/>
  <c r="AH29" i="6" s="1"/>
  <c r="BP12" i="6"/>
  <c r="BF12" i="6"/>
  <c r="BA12" i="6"/>
  <c r="AW12" i="6"/>
  <c r="AU12" i="6"/>
  <c r="AS12" i="6"/>
  <c r="AQ12" i="6"/>
  <c r="AM12" i="6"/>
  <c r="AJ12" i="6"/>
  <c r="AG12" i="6"/>
  <c r="BX11" i="6"/>
  <c r="BW11" i="6"/>
  <c r="BV11" i="6"/>
  <c r="BU11" i="6"/>
  <c r="BT11" i="6"/>
  <c r="BS11" i="6"/>
  <c r="BR11" i="6"/>
  <c r="BQ11" i="6"/>
  <c r="BP11" i="6"/>
  <c r="BO11" i="6"/>
  <c r="BN11" i="6"/>
  <c r="BM11" i="6"/>
  <c r="BI11" i="6"/>
  <c r="BH11" i="6"/>
  <c r="BF11" i="6"/>
  <c r="BE11" i="6"/>
  <c r="BD11" i="6"/>
  <c r="BC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M11" i="6"/>
  <c r="AL11" i="6"/>
  <c r="AJ11" i="6"/>
  <c r="AI11" i="6"/>
  <c r="AH11" i="6"/>
  <c r="AG11" i="6"/>
  <c r="AF11" i="6"/>
  <c r="BX10" i="6"/>
  <c r="BW10" i="6"/>
  <c r="BV10" i="6"/>
  <c r="BU10" i="6"/>
  <c r="BT10" i="6"/>
  <c r="BS10" i="6"/>
  <c r="BR10" i="6"/>
  <c r="BQ10" i="6"/>
  <c r="BP10" i="6"/>
  <c r="BO10" i="6"/>
  <c r="BN10" i="6"/>
  <c r="BM10" i="6"/>
  <c r="BJ10" i="6"/>
  <c r="BI10" i="6"/>
  <c r="BH10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M10" i="6"/>
  <c r="AL10" i="6"/>
  <c r="AJ10" i="6"/>
  <c r="AI10" i="6"/>
  <c r="AG10" i="6"/>
  <c r="AF10" i="6"/>
  <c r="BK9" i="6"/>
  <c r="BL9" i="6" s="1"/>
  <c r="BJ9" i="6"/>
  <c r="BG9" i="6"/>
  <c r="BB9" i="6"/>
  <c r="AN9" i="6"/>
  <c r="AK9" i="6"/>
  <c r="AH9" i="6"/>
  <c r="BK8" i="6"/>
  <c r="BL8" i="6" s="1"/>
  <c r="BJ8" i="6"/>
  <c r="BG8" i="6"/>
  <c r="BB8" i="6"/>
  <c r="AN8" i="6"/>
  <c r="AK8" i="6"/>
  <c r="AH8" i="6"/>
  <c r="BK7" i="6"/>
  <c r="BL7" i="6" s="1"/>
  <c r="BJ7" i="6"/>
  <c r="BG7" i="6"/>
  <c r="BB7" i="6"/>
  <c r="AN7" i="6"/>
  <c r="AK7" i="6"/>
  <c r="AH7" i="6"/>
  <c r="BK6" i="6"/>
  <c r="BK10" i="6" s="1"/>
  <c r="BJ6" i="6"/>
  <c r="BJ11" i="6" s="1"/>
  <c r="BG6" i="6"/>
  <c r="BB6" i="6"/>
  <c r="BB11" i="6" s="1"/>
  <c r="AN6" i="6"/>
  <c r="AK6" i="6"/>
  <c r="AH6" i="6"/>
  <c r="AN5" i="6"/>
  <c r="AK5" i="6"/>
  <c r="AH5" i="6"/>
  <c r="BK4" i="6"/>
  <c r="BL4" i="6" s="1"/>
  <c r="BJ4" i="6"/>
  <c r="BG4" i="6"/>
  <c r="BB4" i="6"/>
  <c r="AN4" i="6"/>
  <c r="AK4" i="6"/>
  <c r="AH4" i="6"/>
  <c r="BK3" i="6"/>
  <c r="BL3" i="6" s="1"/>
  <c r="BJ3" i="6"/>
  <c r="BG3" i="6"/>
  <c r="BB3" i="6"/>
  <c r="AN3" i="6"/>
  <c r="AK3" i="6"/>
  <c r="AH3" i="6"/>
  <c r="BK2" i="6"/>
  <c r="BK11" i="6" s="1"/>
  <c r="BJ2" i="6"/>
  <c r="BK12" i="6" s="1"/>
  <c r="BG2" i="6"/>
  <c r="BG11" i="6" s="1"/>
  <c r="BB2" i="6"/>
  <c r="AN2" i="6"/>
  <c r="AN11" i="6" s="1"/>
  <c r="AK2" i="6"/>
  <c r="AK10" i="6" s="1"/>
  <c r="AH2" i="6"/>
  <c r="AH10" i="6" s="1"/>
  <c r="BU38" i="3"/>
  <c r="BP38" i="3"/>
  <c r="BK38" i="3"/>
  <c r="AW38" i="3"/>
  <c r="AT38" i="3"/>
  <c r="AQ38" i="3"/>
  <c r="AN38" i="3"/>
  <c r="AK38" i="3"/>
  <c r="AH38" i="3"/>
  <c r="AE38" i="3"/>
  <c r="Y38" i="3"/>
  <c r="V38" i="3"/>
  <c r="S38" i="3"/>
  <c r="P38" i="3"/>
  <c r="M38" i="3"/>
  <c r="I38" i="3"/>
  <c r="F38" i="3"/>
  <c r="M14" i="4"/>
  <c r="M31" i="4"/>
  <c r="Q14" i="4"/>
  <c r="CH36" i="3"/>
  <c r="CF36" i="3"/>
  <c r="CB36" i="3"/>
  <c r="BZ36" i="3"/>
  <c r="BU36" i="3"/>
  <c r="BP36" i="3"/>
  <c r="BK36" i="3"/>
  <c r="BG36" i="3"/>
  <c r="BE36" i="3"/>
  <c r="BC36" i="3"/>
  <c r="BA36" i="3"/>
  <c r="AW36" i="3"/>
  <c r="AT36" i="3"/>
  <c r="AQ36" i="3"/>
  <c r="AN36" i="3"/>
  <c r="AK36" i="3"/>
  <c r="AH36" i="3"/>
  <c r="AE36" i="3"/>
  <c r="AB36" i="3"/>
  <c r="Y36" i="3"/>
  <c r="V36" i="3"/>
  <c r="S36" i="3"/>
  <c r="P36" i="3"/>
  <c r="M36" i="3"/>
  <c r="I36" i="3"/>
  <c r="F36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D35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D34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AK29" i="6" l="1"/>
  <c r="BL6" i="6"/>
  <c r="AN10" i="6"/>
  <c r="BJ29" i="6"/>
  <c r="BK30" i="6"/>
  <c r="BB45" i="6"/>
  <c r="BJ45" i="6"/>
  <c r="BK29" i="6"/>
  <c r="BL34" i="6"/>
  <c r="AK11" i="6"/>
  <c r="AN29" i="6"/>
  <c r="BG46" i="6"/>
  <c r="BL2" i="6"/>
  <c r="BL16" i="6"/>
  <c r="BJ46" i="6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2" i="3"/>
  <c r="BQ3" i="3"/>
  <c r="BQ4" i="3"/>
  <c r="BQ5" i="3"/>
  <c r="BQ6" i="3"/>
  <c r="BQ7" i="3"/>
  <c r="BQ8" i="3"/>
  <c r="BQ10" i="3"/>
  <c r="BQ11" i="3"/>
  <c r="BQ12" i="3"/>
  <c r="BQ13" i="3"/>
  <c r="BQ14" i="3"/>
  <c r="BQ15" i="3"/>
  <c r="BQ59" i="3"/>
  <c r="BQ16" i="3"/>
  <c r="BQ17" i="3"/>
  <c r="BQ18" i="3"/>
  <c r="BQ19" i="3"/>
  <c r="BQ20" i="3"/>
  <c r="BQ21" i="3"/>
  <c r="BQ22" i="3"/>
  <c r="BQ23" i="3"/>
  <c r="BQ24" i="3"/>
  <c r="BQ25" i="3"/>
  <c r="BQ26" i="3"/>
  <c r="BQ27" i="3"/>
  <c r="BQ28" i="3"/>
  <c r="BQ29" i="3"/>
  <c r="BQ30" i="3"/>
  <c r="BQ31" i="3"/>
  <c r="BQ32" i="3"/>
  <c r="BQ2" i="3"/>
  <c r="BL3" i="3"/>
  <c r="BL4" i="3"/>
  <c r="BL5" i="3"/>
  <c r="BL6" i="3"/>
  <c r="BL7" i="3"/>
  <c r="BL8" i="3"/>
  <c r="BL10" i="3"/>
  <c r="BL11" i="3"/>
  <c r="BL12" i="3"/>
  <c r="BL13" i="3"/>
  <c r="BL14" i="3"/>
  <c r="BL15" i="3"/>
  <c r="BL59" i="3"/>
  <c r="BL16" i="3"/>
  <c r="BL17" i="3"/>
  <c r="BL18" i="3"/>
  <c r="BL19" i="3"/>
  <c r="BL20" i="3"/>
  <c r="BL21" i="3"/>
  <c r="BL22" i="3"/>
  <c r="BL23" i="3"/>
  <c r="BL24" i="3"/>
  <c r="BL25" i="3"/>
  <c r="BL26" i="3"/>
  <c r="BL27" i="3"/>
  <c r="BL28" i="3"/>
  <c r="BL29" i="3"/>
  <c r="BL30" i="3"/>
  <c r="BL31" i="3"/>
  <c r="BL32" i="3"/>
  <c r="BL2" i="3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59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X3" i="3"/>
  <c r="AX4" i="3"/>
  <c r="AX5" i="3"/>
  <c r="AX6" i="3"/>
  <c r="AX7" i="3"/>
  <c r="AX8" i="3"/>
  <c r="AX9" i="3"/>
  <c r="AX10" i="3"/>
  <c r="AX11" i="3"/>
  <c r="AX12" i="3"/>
  <c r="AX13" i="3"/>
  <c r="AX14" i="3"/>
  <c r="AX15" i="3"/>
  <c r="AX59" i="3"/>
  <c r="AX16" i="3"/>
  <c r="AX17" i="3"/>
  <c r="AX18" i="3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2" i="3"/>
  <c r="AX2" i="3"/>
  <c r="AU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59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59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59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59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59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BU3" i="3"/>
  <c r="BU4" i="3"/>
  <c r="BU5" i="3"/>
  <c r="BU6" i="3"/>
  <c r="BU7" i="3"/>
  <c r="BU8" i="3"/>
  <c r="BU10" i="3"/>
  <c r="BU11" i="3"/>
  <c r="BU12" i="3"/>
  <c r="BU13" i="3"/>
  <c r="BU14" i="3"/>
  <c r="BU15" i="3"/>
  <c r="BU59" i="3"/>
  <c r="BU16" i="3"/>
  <c r="BU17" i="3"/>
  <c r="BU18" i="3"/>
  <c r="BU19" i="3"/>
  <c r="BU20" i="3"/>
  <c r="BU21" i="3"/>
  <c r="BU22" i="3"/>
  <c r="BU23" i="3"/>
  <c r="BU24" i="3"/>
  <c r="BU25" i="3"/>
  <c r="BU26" i="3"/>
  <c r="BU27" i="3"/>
  <c r="BU28" i="3"/>
  <c r="BU29" i="3"/>
  <c r="BU30" i="3"/>
  <c r="BU31" i="3"/>
  <c r="BU32" i="3"/>
  <c r="BU2" i="3"/>
  <c r="BT3" i="3"/>
  <c r="BT4" i="3"/>
  <c r="BT5" i="3"/>
  <c r="BT6" i="3"/>
  <c r="BT7" i="3"/>
  <c r="BT8" i="3"/>
  <c r="BT10" i="3"/>
  <c r="BT11" i="3"/>
  <c r="BT12" i="3"/>
  <c r="BT13" i="3"/>
  <c r="BT14" i="3"/>
  <c r="BT15" i="3"/>
  <c r="BT59" i="3"/>
  <c r="BT16" i="3"/>
  <c r="BT17" i="3"/>
  <c r="BT18" i="3"/>
  <c r="BT19" i="3"/>
  <c r="BT20" i="3"/>
  <c r="BT21" i="3"/>
  <c r="BT22" i="3"/>
  <c r="BT23" i="3"/>
  <c r="BT24" i="3"/>
  <c r="BT25" i="3"/>
  <c r="BT26" i="3"/>
  <c r="BT27" i="3"/>
  <c r="BT28" i="3"/>
  <c r="BT29" i="3"/>
  <c r="BT30" i="3"/>
  <c r="BT31" i="3"/>
  <c r="BT32" i="3"/>
  <c r="BT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59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BL28" i="6" l="1"/>
  <c r="BL29" i="6"/>
  <c r="BL11" i="6"/>
  <c r="BL10" i="6"/>
  <c r="BL45" i="6"/>
  <c r="BL46" i="6"/>
  <c r="BV26" i="3"/>
  <c r="BV18" i="3"/>
  <c r="BV11" i="3"/>
  <c r="BV27" i="3"/>
  <c r="BV19" i="3"/>
  <c r="BV12" i="3"/>
  <c r="BV3" i="3"/>
  <c r="BV2" i="3"/>
  <c r="BV25" i="3"/>
  <c r="BV17" i="3"/>
  <c r="BV10" i="3"/>
  <c r="BV28" i="3"/>
  <c r="BV20" i="3"/>
  <c r="BV13" i="3"/>
  <c r="BV4" i="3"/>
  <c r="BV32" i="3"/>
  <c r="BV24" i="3"/>
  <c r="BV16" i="3"/>
  <c r="BV8" i="3"/>
  <c r="BV31" i="3"/>
  <c r="BV23" i="3"/>
  <c r="BV7" i="3"/>
  <c r="BV30" i="3"/>
  <c r="BV22" i="3"/>
  <c r="BV15" i="3"/>
  <c r="BV6" i="3"/>
  <c r="BV29" i="3"/>
  <c r="BV21" i="3"/>
  <c r="BV14" i="3"/>
  <c r="BV5" i="3"/>
  <c r="BV59" i="3"/>
  <c r="S7" i="4"/>
  <c r="R7" i="4"/>
  <c r="O7" i="4"/>
  <c r="N7" i="4"/>
  <c r="V36" i="4" l="1"/>
  <c r="V32" i="4" l="1"/>
  <c r="V35" i="4"/>
  <c r="V34" i="4"/>
  <c r="V33" i="4"/>
  <c r="S3" i="4"/>
  <c r="S4" i="4"/>
  <c r="S6" i="4"/>
  <c r="S8" i="4"/>
  <c r="S9" i="4"/>
  <c r="S10" i="4"/>
  <c r="S16" i="4"/>
  <c r="S17" i="4"/>
  <c r="S18" i="4"/>
  <c r="S19" i="4"/>
  <c r="S20" i="4"/>
  <c r="S21" i="4"/>
  <c r="S22" i="4"/>
  <c r="S23" i="4"/>
  <c r="S24" i="4"/>
  <c r="S25" i="4"/>
  <c r="S26" i="4"/>
  <c r="S27" i="4"/>
  <c r="S33" i="4"/>
  <c r="S34" i="4"/>
  <c r="S35" i="4"/>
  <c r="S36" i="4"/>
  <c r="S37" i="4"/>
  <c r="S38" i="4"/>
  <c r="S39" i="4"/>
  <c r="S40" i="4"/>
  <c r="S41" i="4"/>
  <c r="S42" i="4"/>
  <c r="S43" i="4"/>
  <c r="S2" i="4"/>
  <c r="N3" i="4"/>
  <c r="N4" i="4"/>
  <c r="N6" i="4"/>
  <c r="N8" i="4"/>
  <c r="N9" i="4"/>
  <c r="N10" i="4"/>
  <c r="N16" i="4"/>
  <c r="N17" i="4"/>
  <c r="N18" i="4"/>
  <c r="N19" i="4"/>
  <c r="N20" i="4"/>
  <c r="N21" i="4"/>
  <c r="N22" i="4"/>
  <c r="N23" i="4"/>
  <c r="N24" i="4"/>
  <c r="N25" i="4"/>
  <c r="N26" i="4"/>
  <c r="N27" i="4"/>
  <c r="N33" i="4"/>
  <c r="N34" i="4"/>
  <c r="N35" i="4"/>
  <c r="N36" i="4"/>
  <c r="N37" i="4"/>
  <c r="N38" i="4"/>
  <c r="N39" i="4"/>
  <c r="N40" i="4"/>
  <c r="N41" i="4"/>
  <c r="N42" i="4"/>
  <c r="N43" i="4"/>
  <c r="N2" i="4"/>
  <c r="P3" i="6" l="1"/>
  <c r="P4" i="6"/>
  <c r="P5" i="6"/>
  <c r="P6" i="6"/>
  <c r="P7" i="6"/>
  <c r="P8" i="6"/>
  <c r="P9" i="6"/>
  <c r="P16" i="6"/>
  <c r="P17" i="6"/>
  <c r="P18" i="6"/>
  <c r="P19" i="6"/>
  <c r="P20" i="6"/>
  <c r="P21" i="6"/>
  <c r="P22" i="6"/>
  <c r="P23" i="6"/>
  <c r="P24" i="6"/>
  <c r="P25" i="6"/>
  <c r="P26" i="6"/>
  <c r="P27" i="6"/>
  <c r="P34" i="6"/>
  <c r="P35" i="6"/>
  <c r="P36" i="6"/>
  <c r="P37" i="6"/>
  <c r="P38" i="6"/>
  <c r="P39" i="6"/>
  <c r="P40" i="6"/>
  <c r="P41" i="6"/>
  <c r="P42" i="6"/>
  <c r="P43" i="6"/>
  <c r="P44" i="6"/>
  <c r="P2" i="6"/>
  <c r="L3" i="6"/>
  <c r="L4" i="6"/>
  <c r="L5" i="6"/>
  <c r="L6" i="6"/>
  <c r="L7" i="6"/>
  <c r="L8" i="6"/>
  <c r="L9" i="6"/>
  <c r="L16" i="6"/>
  <c r="L17" i="6"/>
  <c r="L18" i="6"/>
  <c r="L19" i="6"/>
  <c r="L20" i="6"/>
  <c r="L21" i="6"/>
  <c r="L22" i="6"/>
  <c r="L23" i="6"/>
  <c r="L24" i="6"/>
  <c r="L25" i="6"/>
  <c r="L26" i="6"/>
  <c r="L27" i="6"/>
  <c r="L34" i="6"/>
  <c r="L35" i="6"/>
  <c r="L36" i="6"/>
  <c r="L37" i="6"/>
  <c r="L38" i="6"/>
  <c r="L39" i="6"/>
  <c r="L40" i="6"/>
  <c r="L41" i="6"/>
  <c r="L42" i="6"/>
  <c r="L43" i="6"/>
  <c r="L44" i="6"/>
  <c r="L2" i="6"/>
  <c r="N30" i="6"/>
  <c r="N47" i="6"/>
  <c r="J47" i="6"/>
  <c r="D47" i="6"/>
  <c r="G47" i="6"/>
  <c r="G30" i="6"/>
  <c r="D30" i="6"/>
  <c r="J30" i="6"/>
  <c r="N12" i="6"/>
  <c r="C45" i="4"/>
  <c r="C44" i="4"/>
  <c r="Q13" i="4"/>
  <c r="Q30" i="4"/>
  <c r="Q46" i="4"/>
  <c r="M46" i="4"/>
  <c r="M30" i="4"/>
  <c r="M13" i="4"/>
  <c r="M12" i="4"/>
  <c r="P12" i="4"/>
  <c r="Q12" i="4"/>
  <c r="M11" i="4"/>
  <c r="P11" i="4"/>
  <c r="Q11" i="4"/>
  <c r="L12" i="4"/>
  <c r="L11" i="4"/>
  <c r="M29" i="4"/>
  <c r="P29" i="4"/>
  <c r="Q29" i="4"/>
  <c r="M28" i="4"/>
  <c r="P28" i="4"/>
  <c r="Q28" i="4"/>
  <c r="L29" i="4"/>
  <c r="L28" i="4"/>
  <c r="M45" i="4"/>
  <c r="P45" i="4"/>
  <c r="Q45" i="4"/>
  <c r="M44" i="4"/>
  <c r="P44" i="4"/>
  <c r="Q44" i="4"/>
  <c r="L45" i="4"/>
  <c r="L44" i="4"/>
  <c r="O34" i="4"/>
  <c r="O35" i="4"/>
  <c r="O36" i="4"/>
  <c r="O37" i="4"/>
  <c r="O38" i="4"/>
  <c r="O39" i="4"/>
  <c r="O40" i="4"/>
  <c r="O41" i="4"/>
  <c r="O42" i="4"/>
  <c r="O43" i="4"/>
  <c r="O33" i="4"/>
  <c r="O17" i="4"/>
  <c r="O18" i="4"/>
  <c r="O19" i="4"/>
  <c r="O20" i="4"/>
  <c r="O21" i="4"/>
  <c r="O22" i="4"/>
  <c r="O23" i="4"/>
  <c r="O24" i="4"/>
  <c r="O25" i="4"/>
  <c r="O26" i="4"/>
  <c r="O27" i="4"/>
  <c r="O16" i="4"/>
  <c r="R34" i="4"/>
  <c r="R35" i="4"/>
  <c r="R36" i="4"/>
  <c r="R37" i="4"/>
  <c r="R38" i="4"/>
  <c r="R39" i="4"/>
  <c r="R40" i="4"/>
  <c r="R41" i="4"/>
  <c r="R42" i="4"/>
  <c r="R43" i="4"/>
  <c r="R33" i="4"/>
  <c r="R17" i="4"/>
  <c r="R18" i="4"/>
  <c r="R19" i="4"/>
  <c r="R20" i="4"/>
  <c r="R21" i="4"/>
  <c r="R22" i="4"/>
  <c r="R23" i="4"/>
  <c r="R24" i="4"/>
  <c r="R25" i="4"/>
  <c r="R26" i="4"/>
  <c r="R27" i="4"/>
  <c r="R16" i="4"/>
  <c r="R3" i="4"/>
  <c r="R4" i="4"/>
  <c r="R6" i="4"/>
  <c r="R8" i="4"/>
  <c r="R9" i="4"/>
  <c r="R10" i="4"/>
  <c r="R2" i="4"/>
  <c r="O3" i="4"/>
  <c r="O4" i="4"/>
  <c r="O6" i="4"/>
  <c r="O8" i="4"/>
  <c r="O9" i="4"/>
  <c r="O10" i="4"/>
  <c r="O2" i="4"/>
  <c r="R44" i="4" l="1"/>
  <c r="R28" i="4"/>
  <c r="Q31" i="4" s="1"/>
  <c r="O12" i="4"/>
  <c r="R11" i="4"/>
  <c r="O28" i="4"/>
  <c r="R45" i="4"/>
  <c r="O29" i="4"/>
  <c r="O44" i="4"/>
  <c r="M47" i="4" s="1"/>
  <c r="O45" i="4"/>
  <c r="R29" i="4"/>
  <c r="O11" i="4"/>
  <c r="R12" i="4"/>
  <c r="AD46" i="6"/>
  <c r="AC46" i="6"/>
  <c r="AA46" i="6"/>
  <c r="Z46" i="6"/>
  <c r="X46" i="6"/>
  <c r="W46" i="6"/>
  <c r="U46" i="6"/>
  <c r="T46" i="6"/>
  <c r="R46" i="6"/>
  <c r="Q46" i="6"/>
  <c r="N46" i="6"/>
  <c r="M46" i="6"/>
  <c r="J46" i="6"/>
  <c r="I46" i="6"/>
  <c r="G46" i="6"/>
  <c r="F46" i="6"/>
  <c r="D46" i="6"/>
  <c r="C46" i="6"/>
  <c r="AD45" i="6"/>
  <c r="AC45" i="6"/>
  <c r="AA45" i="6"/>
  <c r="Z45" i="6"/>
  <c r="X45" i="6"/>
  <c r="W45" i="6"/>
  <c r="U45" i="6"/>
  <c r="T45" i="6"/>
  <c r="R45" i="6"/>
  <c r="Q45" i="6"/>
  <c r="N45" i="6"/>
  <c r="M45" i="6"/>
  <c r="J45" i="6"/>
  <c r="I45" i="6"/>
  <c r="G45" i="6"/>
  <c r="F45" i="6"/>
  <c r="D45" i="6"/>
  <c r="C45" i="6"/>
  <c r="AE44" i="6"/>
  <c r="AB44" i="6"/>
  <c r="Y44" i="6"/>
  <c r="V44" i="6"/>
  <c r="S44" i="6"/>
  <c r="O44" i="6"/>
  <c r="K44" i="6"/>
  <c r="H44" i="6"/>
  <c r="E44" i="6"/>
  <c r="AE43" i="6"/>
  <c r="AB43" i="6"/>
  <c r="Y43" i="6"/>
  <c r="V43" i="6"/>
  <c r="S43" i="6"/>
  <c r="O43" i="6"/>
  <c r="K43" i="6"/>
  <c r="H43" i="6"/>
  <c r="E43" i="6"/>
  <c r="AE42" i="6"/>
  <c r="AB42" i="6"/>
  <c r="Y42" i="6"/>
  <c r="V42" i="6"/>
  <c r="S42" i="6"/>
  <c r="O42" i="6"/>
  <c r="K42" i="6"/>
  <c r="H42" i="6"/>
  <c r="E42" i="6"/>
  <c r="AE41" i="6"/>
  <c r="AB41" i="6"/>
  <c r="Y41" i="6"/>
  <c r="V41" i="6"/>
  <c r="S41" i="6"/>
  <c r="O41" i="6"/>
  <c r="K41" i="6"/>
  <c r="H41" i="6"/>
  <c r="E41" i="6"/>
  <c r="AE40" i="6"/>
  <c r="AB40" i="6"/>
  <c r="Y40" i="6"/>
  <c r="V40" i="6"/>
  <c r="S40" i="6"/>
  <c r="O40" i="6"/>
  <c r="K40" i="6"/>
  <c r="H40" i="6"/>
  <c r="E40" i="6"/>
  <c r="AE39" i="6"/>
  <c r="AB39" i="6"/>
  <c r="Y39" i="6"/>
  <c r="V39" i="6"/>
  <c r="S39" i="6"/>
  <c r="O39" i="6"/>
  <c r="K39" i="6"/>
  <c r="H39" i="6"/>
  <c r="E39" i="6"/>
  <c r="AE38" i="6"/>
  <c r="AB38" i="6"/>
  <c r="Y38" i="6"/>
  <c r="V38" i="6"/>
  <c r="S38" i="6"/>
  <c r="O38" i="6"/>
  <c r="K38" i="6"/>
  <c r="H38" i="6"/>
  <c r="E38" i="6"/>
  <c r="AE37" i="6"/>
  <c r="AB37" i="6"/>
  <c r="Y37" i="6"/>
  <c r="V37" i="6"/>
  <c r="S37" i="6"/>
  <c r="O37" i="6"/>
  <c r="K37" i="6"/>
  <c r="H37" i="6"/>
  <c r="E37" i="6"/>
  <c r="AE36" i="6"/>
  <c r="AB36" i="6"/>
  <c r="Y36" i="6"/>
  <c r="V36" i="6"/>
  <c r="S36" i="6"/>
  <c r="O36" i="6"/>
  <c r="K36" i="6"/>
  <c r="H36" i="6"/>
  <c r="E36" i="6"/>
  <c r="AE35" i="6"/>
  <c r="AB35" i="6"/>
  <c r="Y35" i="6"/>
  <c r="V35" i="6"/>
  <c r="S35" i="6"/>
  <c r="O35" i="6"/>
  <c r="K35" i="6"/>
  <c r="H35" i="6"/>
  <c r="E35" i="6"/>
  <c r="AE34" i="6"/>
  <c r="AB34" i="6"/>
  <c r="Y34" i="6"/>
  <c r="V34" i="6"/>
  <c r="S34" i="6"/>
  <c r="O34" i="6"/>
  <c r="K34" i="6"/>
  <c r="H34" i="6"/>
  <c r="E34" i="6"/>
  <c r="AD29" i="6"/>
  <c r="AC29" i="6"/>
  <c r="AA29" i="6"/>
  <c r="Z29" i="6"/>
  <c r="X29" i="6"/>
  <c r="W29" i="6"/>
  <c r="U29" i="6"/>
  <c r="T29" i="6"/>
  <c r="R29" i="6"/>
  <c r="Q29" i="6"/>
  <c r="N29" i="6"/>
  <c r="M29" i="6"/>
  <c r="J29" i="6"/>
  <c r="I29" i="6"/>
  <c r="G29" i="6"/>
  <c r="F29" i="6"/>
  <c r="D29" i="6"/>
  <c r="C29" i="6"/>
  <c r="AD28" i="6"/>
  <c r="AC28" i="6"/>
  <c r="AA28" i="6"/>
  <c r="Z28" i="6"/>
  <c r="X28" i="6"/>
  <c r="W28" i="6"/>
  <c r="U28" i="6"/>
  <c r="T28" i="6"/>
  <c r="R28" i="6"/>
  <c r="Q28" i="6"/>
  <c r="N28" i="6"/>
  <c r="M28" i="6"/>
  <c r="J28" i="6"/>
  <c r="I28" i="6"/>
  <c r="G28" i="6"/>
  <c r="F28" i="6"/>
  <c r="D28" i="6"/>
  <c r="C28" i="6"/>
  <c r="AE27" i="6"/>
  <c r="AB27" i="6"/>
  <c r="Y27" i="6"/>
  <c r="V27" i="6"/>
  <c r="S27" i="6"/>
  <c r="O27" i="6"/>
  <c r="K27" i="6"/>
  <c r="H27" i="6"/>
  <c r="E27" i="6"/>
  <c r="AE26" i="6"/>
  <c r="AB26" i="6"/>
  <c r="Y26" i="6"/>
  <c r="V26" i="6"/>
  <c r="S26" i="6"/>
  <c r="O26" i="6"/>
  <c r="K26" i="6"/>
  <c r="H26" i="6"/>
  <c r="E26" i="6"/>
  <c r="AE25" i="6"/>
  <c r="AB25" i="6"/>
  <c r="Y25" i="6"/>
  <c r="V25" i="6"/>
  <c r="S25" i="6"/>
  <c r="O25" i="6"/>
  <c r="K25" i="6"/>
  <c r="H25" i="6"/>
  <c r="E25" i="6"/>
  <c r="AE24" i="6"/>
  <c r="AB24" i="6"/>
  <c r="Y24" i="6"/>
  <c r="V24" i="6"/>
  <c r="S24" i="6"/>
  <c r="O24" i="6"/>
  <c r="K24" i="6"/>
  <c r="H24" i="6"/>
  <c r="E24" i="6"/>
  <c r="AE23" i="6"/>
  <c r="AB23" i="6"/>
  <c r="Y23" i="6"/>
  <c r="V23" i="6"/>
  <c r="S23" i="6"/>
  <c r="O23" i="6"/>
  <c r="K23" i="6"/>
  <c r="H23" i="6"/>
  <c r="E23" i="6"/>
  <c r="AE22" i="6"/>
  <c r="AB22" i="6"/>
  <c r="Y22" i="6"/>
  <c r="V22" i="6"/>
  <c r="S22" i="6"/>
  <c r="O22" i="6"/>
  <c r="K22" i="6"/>
  <c r="H22" i="6"/>
  <c r="E22" i="6"/>
  <c r="AE21" i="6"/>
  <c r="AB21" i="6"/>
  <c r="Y21" i="6"/>
  <c r="V21" i="6"/>
  <c r="S21" i="6"/>
  <c r="O21" i="6"/>
  <c r="K21" i="6"/>
  <c r="H21" i="6"/>
  <c r="E21" i="6"/>
  <c r="AE20" i="6"/>
  <c r="AB20" i="6"/>
  <c r="Y20" i="6"/>
  <c r="V20" i="6"/>
  <c r="S20" i="6"/>
  <c r="O20" i="6"/>
  <c r="K20" i="6"/>
  <c r="H20" i="6"/>
  <c r="E20" i="6"/>
  <c r="AE19" i="6"/>
  <c r="AB19" i="6"/>
  <c r="Y19" i="6"/>
  <c r="V19" i="6"/>
  <c r="S19" i="6"/>
  <c r="O19" i="6"/>
  <c r="K19" i="6"/>
  <c r="H19" i="6"/>
  <c r="E19" i="6"/>
  <c r="AE18" i="6"/>
  <c r="AB18" i="6"/>
  <c r="Y18" i="6"/>
  <c r="V18" i="6"/>
  <c r="S18" i="6"/>
  <c r="O18" i="6"/>
  <c r="K18" i="6"/>
  <c r="H18" i="6"/>
  <c r="E18" i="6"/>
  <c r="AE17" i="6"/>
  <c r="AB17" i="6"/>
  <c r="Y17" i="6"/>
  <c r="V17" i="6"/>
  <c r="S17" i="6"/>
  <c r="O17" i="6"/>
  <c r="K17" i="6"/>
  <c r="H17" i="6"/>
  <c r="E17" i="6"/>
  <c r="AE16" i="6"/>
  <c r="AB16" i="6"/>
  <c r="Y16" i="6"/>
  <c r="V16" i="6"/>
  <c r="S16" i="6"/>
  <c r="O16" i="6"/>
  <c r="K16" i="6"/>
  <c r="H16" i="6"/>
  <c r="E16" i="6"/>
  <c r="J12" i="6"/>
  <c r="G12" i="6"/>
  <c r="D12" i="6"/>
  <c r="AD11" i="6"/>
  <c r="AC11" i="6"/>
  <c r="AA11" i="6"/>
  <c r="Z11" i="6"/>
  <c r="X11" i="6"/>
  <c r="W11" i="6"/>
  <c r="U11" i="6"/>
  <c r="T11" i="6"/>
  <c r="R11" i="6"/>
  <c r="Q11" i="6"/>
  <c r="N11" i="6"/>
  <c r="M11" i="6"/>
  <c r="J11" i="6"/>
  <c r="I11" i="6"/>
  <c r="G11" i="6"/>
  <c r="F11" i="6"/>
  <c r="D11" i="6"/>
  <c r="C11" i="6"/>
  <c r="AD10" i="6"/>
  <c r="AC10" i="6"/>
  <c r="AA10" i="6"/>
  <c r="Z10" i="6"/>
  <c r="X10" i="6"/>
  <c r="W10" i="6"/>
  <c r="U10" i="6"/>
  <c r="T10" i="6"/>
  <c r="R10" i="6"/>
  <c r="Q10" i="6"/>
  <c r="N10" i="6"/>
  <c r="M10" i="6"/>
  <c r="J10" i="6"/>
  <c r="I10" i="6"/>
  <c r="G10" i="6"/>
  <c r="F10" i="6"/>
  <c r="D10" i="6"/>
  <c r="C10" i="6"/>
  <c r="AE9" i="6"/>
  <c r="AB9" i="6"/>
  <c r="Y9" i="6"/>
  <c r="V9" i="6"/>
  <c r="S9" i="6"/>
  <c r="O9" i="6"/>
  <c r="K9" i="6"/>
  <c r="H9" i="6"/>
  <c r="E9" i="6"/>
  <c r="AE8" i="6"/>
  <c r="AB8" i="6"/>
  <c r="Y8" i="6"/>
  <c r="V8" i="6"/>
  <c r="S8" i="6"/>
  <c r="O8" i="6"/>
  <c r="K8" i="6"/>
  <c r="H8" i="6"/>
  <c r="E8" i="6"/>
  <c r="AE7" i="6"/>
  <c r="AB7" i="6"/>
  <c r="Y7" i="6"/>
  <c r="V7" i="6"/>
  <c r="S7" i="6"/>
  <c r="O7" i="6"/>
  <c r="K7" i="6"/>
  <c r="H7" i="6"/>
  <c r="E7" i="6"/>
  <c r="AE6" i="6"/>
  <c r="AB6" i="6"/>
  <c r="Y6" i="6"/>
  <c r="V6" i="6"/>
  <c r="S6" i="6"/>
  <c r="O6" i="6"/>
  <c r="K6" i="6"/>
  <c r="H6" i="6"/>
  <c r="E6" i="6"/>
  <c r="AE5" i="6"/>
  <c r="AB5" i="6"/>
  <c r="Y5" i="6"/>
  <c r="V5" i="6"/>
  <c r="S5" i="6"/>
  <c r="O5" i="6"/>
  <c r="K5" i="6"/>
  <c r="H5" i="6"/>
  <c r="E5" i="6"/>
  <c r="AE4" i="6"/>
  <c r="AB4" i="6"/>
  <c r="Y4" i="6"/>
  <c r="V4" i="6"/>
  <c r="S4" i="6"/>
  <c r="O4" i="6"/>
  <c r="K4" i="6"/>
  <c r="H4" i="6"/>
  <c r="E4" i="6"/>
  <c r="AE3" i="6"/>
  <c r="AB3" i="6"/>
  <c r="Y3" i="6"/>
  <c r="V3" i="6"/>
  <c r="S3" i="6"/>
  <c r="O3" i="6"/>
  <c r="K3" i="6"/>
  <c r="H3" i="6"/>
  <c r="E3" i="6"/>
  <c r="AE2" i="6"/>
  <c r="AB2" i="6"/>
  <c r="Y2" i="6"/>
  <c r="V2" i="6"/>
  <c r="S2" i="6"/>
  <c r="O2" i="6"/>
  <c r="K2" i="6"/>
  <c r="H2" i="6"/>
  <c r="E2" i="6"/>
  <c r="AB43" i="2"/>
  <c r="AA43" i="2"/>
  <c r="Y43" i="2"/>
  <c r="X43" i="2"/>
  <c r="V43" i="2"/>
  <c r="U43" i="2"/>
  <c r="S43" i="2"/>
  <c r="R43" i="2"/>
  <c r="P43" i="2"/>
  <c r="O43" i="2"/>
  <c r="M43" i="2"/>
  <c r="L43" i="2"/>
  <c r="AB42" i="2"/>
  <c r="AA42" i="2"/>
  <c r="Y42" i="2"/>
  <c r="X42" i="2"/>
  <c r="V42" i="2"/>
  <c r="U42" i="2"/>
  <c r="S42" i="2"/>
  <c r="R42" i="2"/>
  <c r="P42" i="2"/>
  <c r="O42" i="2"/>
  <c r="M42" i="2"/>
  <c r="L42" i="2"/>
  <c r="AC41" i="2"/>
  <c r="Z41" i="2"/>
  <c r="W41" i="2"/>
  <c r="T41" i="2"/>
  <c r="Q41" i="2"/>
  <c r="N41" i="2"/>
  <c r="K41" i="2"/>
  <c r="AC40" i="2"/>
  <c r="Z40" i="2"/>
  <c r="W40" i="2"/>
  <c r="T40" i="2"/>
  <c r="Q40" i="2"/>
  <c r="N40" i="2"/>
  <c r="K40" i="2"/>
  <c r="AC39" i="2"/>
  <c r="Z39" i="2"/>
  <c r="W39" i="2"/>
  <c r="T39" i="2"/>
  <c r="Q39" i="2"/>
  <c r="N39" i="2"/>
  <c r="K39" i="2"/>
  <c r="AC38" i="2"/>
  <c r="Z38" i="2"/>
  <c r="W38" i="2"/>
  <c r="T38" i="2"/>
  <c r="Q38" i="2"/>
  <c r="N38" i="2"/>
  <c r="K38" i="2"/>
  <c r="AC37" i="2"/>
  <c r="Z37" i="2"/>
  <c r="W37" i="2"/>
  <c r="T37" i="2"/>
  <c r="Q37" i="2"/>
  <c r="N37" i="2"/>
  <c r="K37" i="2"/>
  <c r="AC36" i="2"/>
  <c r="Z36" i="2"/>
  <c r="W36" i="2"/>
  <c r="T36" i="2"/>
  <c r="Q36" i="2"/>
  <c r="N36" i="2"/>
  <c r="K36" i="2"/>
  <c r="AC35" i="2"/>
  <c r="Z35" i="2"/>
  <c r="W35" i="2"/>
  <c r="T35" i="2"/>
  <c r="Q35" i="2"/>
  <c r="N35" i="2"/>
  <c r="K35" i="2"/>
  <c r="AC34" i="2"/>
  <c r="Z34" i="2"/>
  <c r="W34" i="2"/>
  <c r="T34" i="2"/>
  <c r="Q34" i="2"/>
  <c r="N34" i="2"/>
  <c r="K34" i="2"/>
  <c r="AC33" i="2"/>
  <c r="Z33" i="2"/>
  <c r="W33" i="2"/>
  <c r="T33" i="2"/>
  <c r="Q33" i="2"/>
  <c r="N33" i="2"/>
  <c r="K33" i="2"/>
  <c r="AC32" i="2"/>
  <c r="Z32" i="2"/>
  <c r="W32" i="2"/>
  <c r="T32" i="2"/>
  <c r="Q32" i="2"/>
  <c r="N32" i="2"/>
  <c r="K32" i="2"/>
  <c r="AC31" i="2"/>
  <c r="Z31" i="2"/>
  <c r="W31" i="2"/>
  <c r="T31" i="2"/>
  <c r="Q31" i="2"/>
  <c r="N31" i="2"/>
  <c r="K31" i="2"/>
  <c r="AB28" i="2"/>
  <c r="AA28" i="2"/>
  <c r="Y28" i="2"/>
  <c r="X28" i="2"/>
  <c r="V28" i="2"/>
  <c r="U28" i="2"/>
  <c r="S28" i="2"/>
  <c r="R28" i="2"/>
  <c r="P28" i="2"/>
  <c r="O28" i="2"/>
  <c r="M28" i="2"/>
  <c r="L28" i="2"/>
  <c r="AB27" i="2"/>
  <c r="AA27" i="2"/>
  <c r="Y27" i="2"/>
  <c r="X27" i="2"/>
  <c r="V27" i="2"/>
  <c r="U27" i="2"/>
  <c r="S27" i="2"/>
  <c r="R27" i="2"/>
  <c r="P27" i="2"/>
  <c r="O27" i="2"/>
  <c r="M27" i="2"/>
  <c r="L27" i="2"/>
  <c r="AC26" i="2"/>
  <c r="Z26" i="2"/>
  <c r="W26" i="2"/>
  <c r="T26" i="2"/>
  <c r="Q26" i="2"/>
  <c r="N26" i="2"/>
  <c r="K26" i="2"/>
  <c r="AC25" i="2"/>
  <c r="Z25" i="2"/>
  <c r="W25" i="2"/>
  <c r="T25" i="2"/>
  <c r="Q25" i="2"/>
  <c r="N25" i="2"/>
  <c r="K25" i="2"/>
  <c r="AC24" i="2"/>
  <c r="Z24" i="2"/>
  <c r="W24" i="2"/>
  <c r="T24" i="2"/>
  <c r="Q24" i="2"/>
  <c r="N24" i="2"/>
  <c r="K24" i="2"/>
  <c r="AC23" i="2"/>
  <c r="Z23" i="2"/>
  <c r="W23" i="2"/>
  <c r="T23" i="2"/>
  <c r="Q23" i="2"/>
  <c r="N23" i="2"/>
  <c r="K23" i="2"/>
  <c r="AC22" i="2"/>
  <c r="Z22" i="2"/>
  <c r="W22" i="2"/>
  <c r="T22" i="2"/>
  <c r="Q22" i="2"/>
  <c r="N22" i="2"/>
  <c r="K22" i="2"/>
  <c r="AC21" i="2"/>
  <c r="Z21" i="2"/>
  <c r="W21" i="2"/>
  <c r="T21" i="2"/>
  <c r="Q21" i="2"/>
  <c r="N21" i="2"/>
  <c r="K21" i="2"/>
  <c r="AC20" i="2"/>
  <c r="Z20" i="2"/>
  <c r="W20" i="2"/>
  <c r="T20" i="2"/>
  <c r="Q20" i="2"/>
  <c r="N20" i="2"/>
  <c r="K20" i="2"/>
  <c r="AC19" i="2"/>
  <c r="Z19" i="2"/>
  <c r="W19" i="2"/>
  <c r="T19" i="2"/>
  <c r="Q19" i="2"/>
  <c r="N19" i="2"/>
  <c r="K19" i="2"/>
  <c r="AC18" i="2"/>
  <c r="Z18" i="2"/>
  <c r="W18" i="2"/>
  <c r="T18" i="2"/>
  <c r="Q18" i="2"/>
  <c r="N18" i="2"/>
  <c r="K18" i="2"/>
  <c r="AC17" i="2"/>
  <c r="Z17" i="2"/>
  <c r="W17" i="2"/>
  <c r="T17" i="2"/>
  <c r="Q17" i="2"/>
  <c r="N17" i="2"/>
  <c r="K17" i="2"/>
  <c r="AC16" i="2"/>
  <c r="Z16" i="2"/>
  <c r="W16" i="2"/>
  <c r="T16" i="2"/>
  <c r="Q16" i="2"/>
  <c r="N16" i="2"/>
  <c r="K16" i="2"/>
  <c r="AC15" i="2"/>
  <c r="Z15" i="2"/>
  <c r="W15" i="2"/>
  <c r="T15" i="2"/>
  <c r="Q15" i="2"/>
  <c r="N15" i="2"/>
  <c r="K15" i="2"/>
  <c r="AB12" i="2"/>
  <c r="AA12" i="2"/>
  <c r="Y12" i="2"/>
  <c r="X12" i="2"/>
  <c r="V12" i="2"/>
  <c r="U12" i="2"/>
  <c r="S12" i="2"/>
  <c r="R12" i="2"/>
  <c r="P12" i="2"/>
  <c r="O12" i="2"/>
  <c r="M12" i="2"/>
  <c r="L12" i="2"/>
  <c r="AB11" i="2"/>
  <c r="AA11" i="2"/>
  <c r="Y11" i="2"/>
  <c r="X11" i="2"/>
  <c r="V11" i="2"/>
  <c r="U11" i="2"/>
  <c r="S11" i="2"/>
  <c r="R11" i="2"/>
  <c r="P11" i="2"/>
  <c r="O11" i="2"/>
  <c r="M11" i="2"/>
  <c r="L11" i="2"/>
  <c r="AC10" i="2"/>
  <c r="Z10" i="2"/>
  <c r="W10" i="2"/>
  <c r="T10" i="2"/>
  <c r="Q10" i="2"/>
  <c r="N10" i="2"/>
  <c r="K10" i="2"/>
  <c r="AC9" i="2"/>
  <c r="Z9" i="2"/>
  <c r="W9" i="2"/>
  <c r="T9" i="2"/>
  <c r="Q9" i="2"/>
  <c r="N9" i="2"/>
  <c r="K9" i="2"/>
  <c r="AC8" i="2"/>
  <c r="Z8" i="2"/>
  <c r="W8" i="2"/>
  <c r="T8" i="2"/>
  <c r="Q8" i="2"/>
  <c r="N8" i="2"/>
  <c r="K8" i="2"/>
  <c r="AC7" i="2"/>
  <c r="Z7" i="2"/>
  <c r="W7" i="2"/>
  <c r="T7" i="2"/>
  <c r="Q7" i="2"/>
  <c r="N7" i="2"/>
  <c r="K7" i="2"/>
  <c r="AC6" i="2"/>
  <c r="Z6" i="2"/>
  <c r="W6" i="2"/>
  <c r="T6" i="2"/>
  <c r="Q6" i="2"/>
  <c r="N6" i="2"/>
  <c r="K6" i="2"/>
  <c r="AC5" i="2"/>
  <c r="Z5" i="2"/>
  <c r="W5" i="2"/>
  <c r="T5" i="2"/>
  <c r="Q5" i="2"/>
  <c r="N5" i="2"/>
  <c r="K5" i="2"/>
  <c r="AC4" i="2"/>
  <c r="Z4" i="2"/>
  <c r="W4" i="2"/>
  <c r="T4" i="2"/>
  <c r="Q4" i="2"/>
  <c r="N4" i="2"/>
  <c r="K4" i="2"/>
  <c r="AC3" i="2"/>
  <c r="Z3" i="2"/>
  <c r="W3" i="2"/>
  <c r="T3" i="2"/>
  <c r="Q3" i="2"/>
  <c r="N3" i="2"/>
  <c r="K3" i="2"/>
  <c r="AC2" i="2"/>
  <c r="Z2" i="2"/>
  <c r="W2" i="2"/>
  <c r="T2" i="2"/>
  <c r="Q2" i="2"/>
  <c r="N2" i="2"/>
  <c r="K2" i="2"/>
  <c r="H41" i="2"/>
  <c r="H40" i="2"/>
  <c r="H39" i="2"/>
  <c r="H38" i="2"/>
  <c r="H37" i="2"/>
  <c r="H36" i="2"/>
  <c r="H35" i="2"/>
  <c r="H34" i="2"/>
  <c r="H33" i="2"/>
  <c r="H32" i="2"/>
  <c r="H31" i="2"/>
  <c r="H26" i="2"/>
  <c r="H25" i="2"/>
  <c r="H24" i="2"/>
  <c r="H23" i="2"/>
  <c r="H22" i="2"/>
  <c r="H21" i="2"/>
  <c r="H20" i="2"/>
  <c r="H19" i="2"/>
  <c r="H18" i="2"/>
  <c r="H17" i="2"/>
  <c r="H16" i="2"/>
  <c r="H15" i="2"/>
  <c r="H10" i="2"/>
  <c r="H9" i="2"/>
  <c r="H8" i="2"/>
  <c r="H7" i="2"/>
  <c r="H6" i="2"/>
  <c r="H5" i="2"/>
  <c r="H4" i="2"/>
  <c r="H3" i="2"/>
  <c r="H2" i="2"/>
  <c r="W42" i="2" l="1"/>
  <c r="K27" i="2"/>
  <c r="Q47" i="4"/>
  <c r="H11" i="2"/>
  <c r="AC43" i="2"/>
  <c r="H12" i="2"/>
  <c r="N11" i="2"/>
  <c r="W12" i="2"/>
  <c r="Z12" i="2"/>
  <c r="AC11" i="2"/>
  <c r="Z27" i="2"/>
  <c r="Q28" i="2"/>
  <c r="T27" i="2"/>
  <c r="N42" i="2"/>
  <c r="K11" i="2"/>
  <c r="Z43" i="2"/>
  <c r="Z11" i="2"/>
  <c r="AC28" i="2"/>
  <c r="Q43" i="2"/>
  <c r="H43" i="2"/>
  <c r="K28" i="2"/>
  <c r="N27" i="2"/>
  <c r="T43" i="2"/>
  <c r="K42" i="2"/>
  <c r="Q42" i="2"/>
  <c r="H28" i="2"/>
  <c r="N43" i="2"/>
  <c r="Q27" i="2"/>
  <c r="N28" i="2"/>
  <c r="N12" i="2"/>
  <c r="Q12" i="2"/>
  <c r="K12" i="2"/>
  <c r="T28" i="2"/>
  <c r="T11" i="2"/>
  <c r="W28" i="2"/>
  <c r="K43" i="2"/>
  <c r="E29" i="6"/>
  <c r="AE29" i="6"/>
  <c r="V46" i="6"/>
  <c r="AE11" i="6"/>
  <c r="E10" i="6"/>
  <c r="H10" i="6"/>
  <c r="H28" i="6"/>
  <c r="V28" i="6"/>
  <c r="K45" i="6"/>
  <c r="Y11" i="6"/>
  <c r="V10" i="6"/>
  <c r="S11" i="6"/>
  <c r="H11" i="6"/>
  <c r="O45" i="6"/>
  <c r="AB11" i="6"/>
  <c r="AB29" i="6"/>
  <c r="Y28" i="6"/>
  <c r="V29" i="6"/>
  <c r="O28" i="6"/>
  <c r="K29" i="6"/>
  <c r="S46" i="6"/>
  <c r="O11" i="6"/>
  <c r="K10" i="6"/>
  <c r="O29" i="6"/>
  <c r="K28" i="6"/>
  <c r="E46" i="6"/>
  <c r="AE46" i="6"/>
  <c r="K11" i="6"/>
  <c r="AB46" i="6"/>
  <c r="Y45" i="6"/>
  <c r="S29" i="6"/>
  <c r="H46" i="6"/>
  <c r="E45" i="6"/>
  <c r="AE45" i="6"/>
  <c r="AB45" i="6"/>
  <c r="Y46" i="6"/>
  <c r="S45" i="6"/>
  <c r="O46" i="6"/>
  <c r="AE10" i="6"/>
  <c r="S28" i="6"/>
  <c r="V45" i="6"/>
  <c r="AB10" i="6"/>
  <c r="V11" i="6"/>
  <c r="Y10" i="6"/>
  <c r="H29" i="6"/>
  <c r="K46" i="6"/>
  <c r="O10" i="6"/>
  <c r="AB28" i="6"/>
  <c r="Y29" i="6"/>
  <c r="S10" i="6"/>
  <c r="E28" i="6"/>
  <c r="E32" i="6" s="1"/>
  <c r="AE28" i="6"/>
  <c r="H45" i="6"/>
  <c r="W11" i="2"/>
  <c r="T12" i="2"/>
  <c r="AC27" i="2"/>
  <c r="Z28" i="2"/>
  <c r="Z42" i="2"/>
  <c r="W43" i="2"/>
  <c r="Q11" i="2"/>
  <c r="W27" i="2"/>
  <c r="T42" i="2"/>
  <c r="AC42" i="2"/>
  <c r="AC12" i="2"/>
  <c r="H42" i="2"/>
  <c r="H27" i="2"/>
  <c r="J46" i="4"/>
  <c r="G46" i="4"/>
  <c r="D46" i="4"/>
  <c r="J45" i="4"/>
  <c r="I45" i="4"/>
  <c r="G45" i="4"/>
  <c r="F45" i="4"/>
  <c r="D45" i="4"/>
  <c r="J44" i="4"/>
  <c r="I44" i="4"/>
  <c r="G44" i="4"/>
  <c r="F44" i="4"/>
  <c r="D44" i="4"/>
  <c r="J30" i="4"/>
  <c r="G30" i="4"/>
  <c r="D30" i="4"/>
  <c r="J29" i="4"/>
  <c r="I29" i="4"/>
  <c r="G29" i="4"/>
  <c r="F29" i="4"/>
  <c r="D29" i="4"/>
  <c r="C29" i="4"/>
  <c r="J28" i="4"/>
  <c r="I28" i="4"/>
  <c r="G28" i="4"/>
  <c r="F28" i="4"/>
  <c r="D28" i="4"/>
  <c r="C28" i="4"/>
  <c r="J13" i="4"/>
  <c r="G13" i="4"/>
  <c r="D13" i="4"/>
  <c r="J12" i="4"/>
  <c r="I12" i="4"/>
  <c r="G12" i="4"/>
  <c r="F12" i="4"/>
  <c r="D12" i="4"/>
  <c r="C12" i="4"/>
  <c r="J11" i="4"/>
  <c r="I11" i="4"/>
  <c r="G11" i="4"/>
  <c r="F11" i="4"/>
  <c r="D11" i="4"/>
  <c r="C11" i="4"/>
  <c r="E29" i="3" l="1"/>
  <c r="F29" i="3"/>
  <c r="G29" i="3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59" i="3"/>
  <c r="F16" i="3"/>
  <c r="F17" i="3"/>
  <c r="F18" i="3"/>
  <c r="F19" i="3"/>
  <c r="F20" i="3"/>
  <c r="F21" i="3"/>
  <c r="G21" i="3" s="1"/>
  <c r="F22" i="3"/>
  <c r="F23" i="3"/>
  <c r="F24" i="3"/>
  <c r="F25" i="3"/>
  <c r="F26" i="3"/>
  <c r="F27" i="3"/>
  <c r="F28" i="3"/>
  <c r="F30" i="3"/>
  <c r="G30" i="3" s="1"/>
  <c r="F31" i="3"/>
  <c r="F3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59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30" i="3"/>
  <c r="E31" i="3"/>
  <c r="E32" i="3"/>
  <c r="F2" i="3"/>
  <c r="E2" i="3"/>
  <c r="G14" i="3" l="1"/>
  <c r="G28" i="3"/>
  <c r="G20" i="3"/>
  <c r="G13" i="3"/>
  <c r="G5" i="3"/>
  <c r="G32" i="3"/>
  <c r="G23" i="3"/>
  <c r="G6" i="3"/>
  <c r="G27" i="3"/>
  <c r="G19" i="3"/>
  <c r="G12" i="3"/>
  <c r="G4" i="3"/>
  <c r="G26" i="3"/>
  <c r="G18" i="3"/>
  <c r="G11" i="3"/>
  <c r="G3" i="3"/>
  <c r="G8" i="3"/>
  <c r="G2" i="3"/>
  <c r="G31" i="3"/>
  <c r="G22" i="3"/>
  <c r="G15" i="3"/>
  <c r="G7" i="3"/>
  <c r="G25" i="3"/>
  <c r="G17" i="3"/>
  <c r="G10" i="3"/>
  <c r="G24" i="3"/>
  <c r="G16" i="3"/>
  <c r="G9" i="3"/>
  <c r="J44" i="2"/>
  <c r="J29" i="2"/>
  <c r="J13" i="2"/>
  <c r="D13" i="2"/>
  <c r="D29" i="2"/>
  <c r="D44" i="2"/>
  <c r="G44" i="2"/>
  <c r="G29" i="2"/>
  <c r="G13" i="2"/>
  <c r="J43" i="2"/>
  <c r="I43" i="2"/>
  <c r="G43" i="2"/>
  <c r="F43" i="2"/>
  <c r="D43" i="2"/>
  <c r="C43" i="2"/>
  <c r="J42" i="2"/>
  <c r="I42" i="2"/>
  <c r="G42" i="2"/>
  <c r="F42" i="2"/>
  <c r="D42" i="2"/>
  <c r="C42" i="2"/>
  <c r="D28" i="2"/>
  <c r="F28" i="2"/>
  <c r="G28" i="2"/>
  <c r="I28" i="2"/>
  <c r="J28" i="2"/>
  <c r="C28" i="2"/>
  <c r="J27" i="2"/>
  <c r="I27" i="2"/>
  <c r="G27" i="2"/>
  <c r="F27" i="2"/>
  <c r="J12" i="2"/>
  <c r="I12" i="2"/>
  <c r="J11" i="2"/>
  <c r="I11" i="2"/>
  <c r="G12" i="2"/>
  <c r="F12" i="2"/>
  <c r="G11" i="2"/>
  <c r="F11" i="2"/>
  <c r="D12" i="2"/>
  <c r="C12" i="2"/>
  <c r="D11" i="2"/>
  <c r="D27" i="2"/>
  <c r="C27" i="2"/>
  <c r="C11" i="2"/>
</calcChain>
</file>

<file path=xl/sharedStrings.xml><?xml version="1.0" encoding="utf-8"?>
<sst xmlns="http://schemas.openxmlformats.org/spreadsheetml/2006/main" count="595" uniqueCount="197">
  <si>
    <t>Group</t>
  </si>
  <si>
    <t>EAA 01</t>
  </si>
  <si>
    <t>Placebo</t>
  </si>
  <si>
    <t>EAA 04</t>
  </si>
  <si>
    <t>EAA</t>
  </si>
  <si>
    <t>Protein</t>
  </si>
  <si>
    <t>EAA 09</t>
  </si>
  <si>
    <t>EAA 10</t>
  </si>
  <si>
    <t>EAA 11</t>
  </si>
  <si>
    <t>EAA 12</t>
  </si>
  <si>
    <t>EAA 14</t>
  </si>
  <si>
    <t>EAA 17</t>
  </si>
  <si>
    <t>EAA 18</t>
  </si>
  <si>
    <t>EAA 20</t>
  </si>
  <si>
    <t>EAA 25</t>
  </si>
  <si>
    <t>EAA 27</t>
  </si>
  <si>
    <t>EAA 28</t>
  </si>
  <si>
    <t>EAA 29</t>
  </si>
  <si>
    <t>EAA 30</t>
  </si>
  <si>
    <t>EAA 32</t>
  </si>
  <si>
    <t>EAA 33</t>
  </si>
  <si>
    <t>EAA 35</t>
  </si>
  <si>
    <t>EAA 36</t>
  </si>
  <si>
    <t>EAA 37</t>
  </si>
  <si>
    <t>EAA 40</t>
  </si>
  <si>
    <t>EAA 41</t>
  </si>
  <si>
    <t>EAA 43</t>
  </si>
  <si>
    <t>Mean</t>
  </si>
  <si>
    <t>Participant_ID</t>
  </si>
  <si>
    <t>EAA 05</t>
  </si>
  <si>
    <t>EAA 06</t>
  </si>
  <si>
    <t>EAA 07</t>
  </si>
  <si>
    <t>EAA 13</t>
  </si>
  <si>
    <t>EAA 16</t>
  </si>
  <si>
    <t>EAA 21</t>
  </si>
  <si>
    <t>EAA 22</t>
  </si>
  <si>
    <t>EAA 31</t>
  </si>
  <si>
    <t>EAA 34</t>
  </si>
  <si>
    <t>LBM_kg_T1</t>
  </si>
  <si>
    <t>LBM_kg_T2</t>
  </si>
  <si>
    <t>FM_kg_T1</t>
  </si>
  <si>
    <t>FM_kg_T2</t>
  </si>
  <si>
    <t>VL_thick_cm_T1</t>
  </si>
  <si>
    <t>VL_thick_cm_T2</t>
  </si>
  <si>
    <t>St Dev</t>
  </si>
  <si>
    <t>t-test w-in</t>
  </si>
  <si>
    <t>Group_num</t>
  </si>
  <si>
    <t>pQCT_mCSA_cm2_T1</t>
  </si>
  <si>
    <t>pQCT_mCSA_cm2_T2</t>
  </si>
  <si>
    <t>Age</t>
  </si>
  <si>
    <t>LeanMCSA_pre</t>
  </si>
  <si>
    <t>LeanMCSA_post</t>
  </si>
  <si>
    <t>fatArea_pre</t>
  </si>
  <si>
    <t>fatArea_post</t>
  </si>
  <si>
    <t>IntraFatArea_pre</t>
  </si>
  <si>
    <t>IntraFatArea_post</t>
  </si>
  <si>
    <t>SubCuFatArea_pre</t>
  </si>
  <si>
    <t>SubCuFatArea_post</t>
  </si>
  <si>
    <t>pQCT_muscDen_post</t>
  </si>
  <si>
    <t>pQCT_muscDen_pre</t>
  </si>
  <si>
    <t>kg_T1</t>
  </si>
  <si>
    <t>kg_T2</t>
  </si>
  <si>
    <t>PRE_total_kcal</t>
  </si>
  <si>
    <t>PRE_PRO_g</t>
  </si>
  <si>
    <t>PRE_CHO_g</t>
  </si>
  <si>
    <t>PRE_FAT_g</t>
  </si>
  <si>
    <t>PRE_FIBER_g</t>
  </si>
  <si>
    <t>POST_total_kcal</t>
  </si>
  <si>
    <t>POST_PRO_g</t>
  </si>
  <si>
    <t>POST_CHO_g</t>
  </si>
  <si>
    <t>POST_FAT_g</t>
  </si>
  <si>
    <t>POST_FIBER_g</t>
  </si>
  <si>
    <t>Total_Volume_kg</t>
  </si>
  <si>
    <t>Variable</t>
  </si>
  <si>
    <t>Time p</t>
  </si>
  <si>
    <t>GxT p</t>
  </si>
  <si>
    <t>BF%</t>
  </si>
  <si>
    <t>LBM</t>
  </si>
  <si>
    <t>&lt;0.001</t>
  </si>
  <si>
    <t>FM</t>
  </si>
  <si>
    <t>Vlthick</t>
  </si>
  <si>
    <t>pQCT mCSA</t>
  </si>
  <si>
    <t>pQCT muscDen</t>
  </si>
  <si>
    <t>Lean mCSA</t>
  </si>
  <si>
    <t>Fat Area</t>
  </si>
  <si>
    <t>Intra Fat Area</t>
  </si>
  <si>
    <t>Sub Cu Fat Area</t>
  </si>
  <si>
    <t>1RM Leg Press</t>
  </si>
  <si>
    <t>1RM Bench Press</t>
  </si>
  <si>
    <t>1RM Deadlift</t>
  </si>
  <si>
    <t>With EAA 20</t>
  </si>
  <si>
    <t>Subject</t>
  </si>
  <si>
    <t>Leg Press_T1</t>
  </si>
  <si>
    <t>Leg Press_T2</t>
  </si>
  <si>
    <t>Bench Press_T1</t>
  </si>
  <si>
    <t>Bench Press_T2</t>
  </si>
  <si>
    <t>Deadlift_T1</t>
  </si>
  <si>
    <t>Deadlift_T2</t>
  </si>
  <si>
    <t>Without EAA 20</t>
  </si>
  <si>
    <t>LBM_chg</t>
  </si>
  <si>
    <t>FM_chg</t>
  </si>
  <si>
    <t>VL_thick_chg</t>
  </si>
  <si>
    <t>mCSA_t1</t>
  </si>
  <si>
    <t>mCSA_t2</t>
  </si>
  <si>
    <t>mCSA_chg</t>
  </si>
  <si>
    <t>muscDen_t1</t>
  </si>
  <si>
    <t>muscDen_t2</t>
  </si>
  <si>
    <t>muscDen_chg</t>
  </si>
  <si>
    <t>LeanMCSA_t1</t>
  </si>
  <si>
    <t>LeanMCSA_t2</t>
  </si>
  <si>
    <t>LeanMCSA_chg</t>
  </si>
  <si>
    <t>fatArea_t1</t>
  </si>
  <si>
    <t>fatArea_t2</t>
  </si>
  <si>
    <t>FatArea_chg</t>
  </si>
  <si>
    <t>IntraFatArea_t1</t>
  </si>
  <si>
    <t>IntraFatArea_t2</t>
  </si>
  <si>
    <t>IntraFat_chg</t>
  </si>
  <si>
    <t>SubCuFatArea_t1</t>
  </si>
  <si>
    <t>SubCuFatArea_t2</t>
  </si>
  <si>
    <t>SubFat_chg</t>
  </si>
  <si>
    <t>Pooled SD</t>
  </si>
  <si>
    <t>ES</t>
  </si>
  <si>
    <t>LBMi</t>
  </si>
  <si>
    <t>BF_percent_T1</t>
  </si>
  <si>
    <t>BF_percent_T2</t>
  </si>
  <si>
    <t>Est_1RM_leg_press_kg_T1</t>
  </si>
  <si>
    <t>Est_1RM_leg_press_kg_T2</t>
  </si>
  <si>
    <t>Est_1RM_Bench_Press_kg_T1</t>
  </si>
  <si>
    <t>Est_1RM_Bench_Press_kg_T2</t>
  </si>
  <si>
    <t>Est_1RM_Deadlift_kg_T1</t>
  </si>
  <si>
    <t>Est_1RM_Deadlift_kg_T2</t>
  </si>
  <si>
    <t>PRE_Type_II_data_mean</t>
  </si>
  <si>
    <t>PRE_Type_I_data_mean</t>
  </si>
  <si>
    <t>PRE_Type_II_count</t>
  </si>
  <si>
    <t>PRE_Type_I_count</t>
  </si>
  <si>
    <t>Pre_Fiber_MinFeret_Type_II</t>
  </si>
  <si>
    <t>PRE_Myonuclei_Type_II</t>
  </si>
  <si>
    <t>Pre_Myonuclear_Domain_Type_II</t>
  </si>
  <si>
    <t>Pre_Fiber_MinFeret_Type_I</t>
  </si>
  <si>
    <t>PRE_Myonuclei_Type_I</t>
  </si>
  <si>
    <t>Pre_Myonuclear_Domain_Type_I</t>
  </si>
  <si>
    <t>POST_Type_II_data_mean</t>
  </si>
  <si>
    <t>POST_Type_II_count</t>
  </si>
  <si>
    <t>POST_Type_I_data_mean</t>
  </si>
  <si>
    <t>POST_Type_I_count</t>
  </si>
  <si>
    <t>POST_Fiber_MinFeret_Type_II</t>
  </si>
  <si>
    <t>POST_Myonuclei_Type_II</t>
  </si>
  <si>
    <t>POST_Myonuclear_Domain_Type_II</t>
  </si>
  <si>
    <t>POST_Fiber_MinFeret_Type_I</t>
  </si>
  <si>
    <t>POST_Myonuclei_Type_I</t>
  </si>
  <si>
    <t>POST_Myonuclear_Domain_Type_I</t>
  </si>
  <si>
    <t>mean change</t>
  </si>
  <si>
    <t>VLT_%_Change</t>
  </si>
  <si>
    <t>mCSA_%_chg</t>
  </si>
  <si>
    <t>Type_II_%_Change</t>
  </si>
  <si>
    <t>%change</t>
  </si>
  <si>
    <t>Type_I_%_Change</t>
  </si>
  <si>
    <t>VL to mCSA</t>
  </si>
  <si>
    <t>VL to Type II</t>
  </si>
  <si>
    <t>VL to Type I</t>
  </si>
  <si>
    <t>mCSA to Type II</t>
  </si>
  <si>
    <t>mCSA to Type I</t>
  </si>
  <si>
    <t>%mCSA Change</t>
  </si>
  <si>
    <t>VL%Change</t>
  </si>
  <si>
    <t>VL_Thick_Cm_Change</t>
  </si>
  <si>
    <t>POST_mean_fCSA</t>
  </si>
  <si>
    <t>PRE_mean_fCSA</t>
  </si>
  <si>
    <t>kg_change</t>
  </si>
  <si>
    <t>LBM_kg_change</t>
  </si>
  <si>
    <t>pQCT_mCSA_cm2_change</t>
  </si>
  <si>
    <t>leanMCSA_change</t>
  </si>
  <si>
    <t>Est_1RM_leg_press_kg_change</t>
  </si>
  <si>
    <t>Est_1RM_Bench_Press_kg_change</t>
  </si>
  <si>
    <t>Est_1RM_Deadlift_kg_change</t>
  </si>
  <si>
    <t>Mean_fCSA_change</t>
  </si>
  <si>
    <t>Type II fCSA</t>
  </si>
  <si>
    <t>Type I fCSA</t>
  </si>
  <si>
    <t>Mean fCSA</t>
  </si>
  <si>
    <t>BF_percent_change</t>
  </si>
  <si>
    <t>FM_kg_change</t>
  </si>
  <si>
    <t>pQCT_musc_Den_change</t>
  </si>
  <si>
    <t>fatArea_change</t>
  </si>
  <si>
    <t>IntraFatArea_change</t>
  </si>
  <si>
    <t>SubCuFatArea_change</t>
  </si>
  <si>
    <t>kg</t>
  </si>
  <si>
    <t>Right_Thigh_Total_Thigh_mass_kg_T1</t>
  </si>
  <si>
    <t>Right_Thigh_Total_Thigh_mass_kg_T2</t>
  </si>
  <si>
    <t>Right_Thigh_Total_Thigh_mass_kg_change</t>
  </si>
  <si>
    <t>Average</t>
  </si>
  <si>
    <t>STDEV</t>
  </si>
  <si>
    <t>POST_Type_II_data_mean_fCSA</t>
  </si>
  <si>
    <t>PRE_Type_II_data_mean_fCSA</t>
  </si>
  <si>
    <t>PRE_Type_I_data_mean_fCSA</t>
  </si>
  <si>
    <t>POST_Type_I_data_mean_fCSA</t>
  </si>
  <si>
    <t>Type_I_mean_fCSA_change</t>
  </si>
  <si>
    <t>Type_II_mean_fCSA_change</t>
  </si>
  <si>
    <t>t-test w/in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</si>
</sst>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65" fontId="6" fillId="0" borderId="0" xfId="0" applyNumberFormat="1" applyFont="1" applyAlignment="1">
      <alignment horizontal="center" wrapText="1"/>
    </xf>
    <xf numFmtId="164" fontId="6" fillId="0" borderId="0" xfId="0" applyNumberFormat="1" applyFont="1" applyAlignment="1">
      <alignment horizontal="center" wrapText="1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165" fontId="6" fillId="0" borderId="0" xfId="0" applyNumberFormat="1" applyFont="1" applyAlignment="1">
      <alignment wrapText="1"/>
    </xf>
    <xf numFmtId="0" fontId="3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 wrapText="1"/>
    </xf>
    <xf numFmtId="2" fontId="3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2" fontId="6" fillId="0" borderId="0" xfId="0" applyNumberFormat="1" applyFont="1" applyAlignment="1">
      <alignment horizontal="right" wrapText="1"/>
    </xf>
    <xf numFmtId="165" fontId="6" fillId="0" borderId="0" xfId="0" applyNumberFormat="1" applyFont="1" applyAlignment="1">
      <alignment horizontal="right" wrapText="1"/>
    </xf>
    <xf numFmtId="164" fontId="6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wrapText="1"/>
    </xf>
    <xf numFmtId="2" fontId="4" fillId="0" borderId="0" xfId="0" applyNumberFormat="1" applyFont="1" applyAlignment="1">
      <alignment horizontal="right" wrapText="1"/>
    </xf>
    <xf numFmtId="2" fontId="3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 wrapText="1"/>
    </xf>
    <xf numFmtId="2" fontId="6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4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2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/>
    </xf>
    <xf numFmtId="0" fontId="0" fillId="0" borderId="1" xfId="0" applyBorder="1"/>
    <xf numFmtId="2" fontId="4" fillId="0" borderId="1" xfId="0" applyNumberFormat="1" applyFont="1" applyBorder="1" applyAlignment="1">
      <alignment horizontal="right" wrapText="1"/>
    </xf>
    <xf numFmtId="2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2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9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986"/>
  <sheetViews>
    <sheetView zoomScale="90" zoomScaleNormal="90" workbookViewId="0">
      <pane xSplit="1" topLeftCell="BR1" activePane="topRight" state="frozen"/>
      <selection pane="topRight" sqref="A1:CH32"/>
    </sheetView>
  </sheetViews>
  <sheetFormatPr defaultColWidth="9.140625" defaultRowHeight="15" x14ac:dyDescent="0.25"/>
  <cols>
    <col min="1" max="1" width="15.85546875" style="2" customWidth="1"/>
    <col min="2" max="2" width="12.42578125" style="2" customWidth="1"/>
    <col min="3" max="3" width="13.140625" style="2" customWidth="1"/>
    <col min="4" max="4" width="16" style="2" customWidth="1"/>
    <col min="5" max="5" width="13" style="2" customWidth="1"/>
    <col min="6" max="7" width="12.28515625" style="2" customWidth="1"/>
    <col min="8" max="9" width="8.140625" style="2" customWidth="1"/>
    <col min="10" max="10" width="11.5703125" style="2" customWidth="1"/>
    <col min="11" max="11" width="10.28515625" style="2" customWidth="1"/>
    <col min="12" max="12" width="12.7109375" style="2" customWidth="1"/>
    <col min="13" max="13" width="12.5703125" style="2" bestFit="1" customWidth="1"/>
    <col min="14" max="15" width="9.42578125" style="2" customWidth="1"/>
    <col min="16" max="17" width="15.7109375" style="2" customWidth="1"/>
    <col min="18" max="18" width="18.5703125" style="2" customWidth="1"/>
    <col min="19" max="19" width="17.85546875" style="2" customWidth="1"/>
    <col min="20" max="20" width="23.42578125" style="2" customWidth="1"/>
    <col min="21" max="21" width="15.85546875" style="2" customWidth="1"/>
    <col min="22" max="22" width="15.7109375" style="2" customWidth="1"/>
    <col min="23" max="23" width="14.28515625" style="2" customWidth="1"/>
    <col min="24" max="24" width="14.42578125" style="2" customWidth="1"/>
    <col min="25" max="25" width="21.28515625" style="2" customWidth="1"/>
    <col min="26" max="26" width="19.7109375" style="2" customWidth="1"/>
    <col min="27" max="27" width="13.7109375" style="2" customWidth="1"/>
    <col min="28" max="28" width="13" style="2" customWidth="1"/>
    <col min="29" max="29" width="12.85546875" style="2" customWidth="1"/>
    <col min="30" max="30" width="11.5703125" style="2" customWidth="1"/>
    <col min="31" max="32" width="11.42578125" style="2" customWidth="1"/>
    <col min="33" max="33" width="8.42578125" style="2" customWidth="1"/>
    <col min="34" max="34" width="12.5703125" style="2" bestFit="1" customWidth="1"/>
    <col min="35" max="35" width="8.5703125" style="2" customWidth="1"/>
    <col min="36" max="36" width="12.140625" style="2" customWidth="1"/>
    <col min="37" max="38" width="12" style="2" customWidth="1"/>
    <col min="39" max="39" width="10.42578125" style="2" customWidth="1"/>
    <col min="40" max="40" width="10.7109375" style="2" customWidth="1"/>
    <col min="41" max="41" width="14.7109375" style="2" customWidth="1"/>
    <col min="42" max="42" width="13.5703125" style="2" customWidth="1"/>
    <col min="43" max="43" width="13.42578125" style="2" customWidth="1"/>
    <col min="44" max="44" width="18.5703125" style="2" customWidth="1"/>
    <col min="45" max="45" width="17.140625" style="2" customWidth="1"/>
    <col min="46" max="46" width="17.42578125" style="2" customWidth="1"/>
    <col min="47" max="47" width="16.5703125" style="2" customWidth="1"/>
    <col min="48" max="48" width="10.85546875" style="2" customWidth="1"/>
    <col min="49" max="49" width="11.140625" style="2" customWidth="1"/>
    <col min="50" max="50" width="11" style="2" customWidth="1"/>
    <col min="51" max="51" width="13.42578125" style="2" customWidth="1"/>
    <col min="52" max="53" width="10.85546875" style="2" customWidth="1"/>
    <col min="54" max="54" width="11" style="2" customWidth="1"/>
    <col min="55" max="55" width="8.140625" style="2" customWidth="1"/>
    <col min="56" max="56" width="12.42578125" style="2" customWidth="1"/>
    <col min="57" max="57" width="12.7109375" style="2" customWidth="1"/>
    <col min="58" max="58" width="10.5703125" style="2" customWidth="1"/>
    <col min="59" max="59" width="11.7109375" style="2" customWidth="1"/>
    <col min="60" max="60" width="12.85546875" style="2" customWidth="1"/>
    <col min="61" max="61" width="7.85546875" style="2" customWidth="1"/>
    <col min="62" max="62" width="11.5703125" style="2" customWidth="1"/>
    <col min="63" max="64" width="14.42578125" style="2" customWidth="1"/>
    <col min="65" max="65" width="11.140625" style="2" customWidth="1"/>
    <col min="66" max="67" width="12.7109375" style="2" customWidth="1"/>
    <col min="68" max="68" width="12.42578125" style="2" customWidth="1"/>
    <col min="69" max="69" width="13.85546875" style="2" customWidth="1"/>
    <col min="70" max="70" width="11.42578125" style="2" customWidth="1"/>
    <col min="71" max="71" width="12.5703125" style="2" customWidth="1"/>
    <col min="72" max="72" width="20.42578125" style="2" customWidth="1"/>
    <col min="73" max="73" width="21.5703125" style="2" bestFit="1" customWidth="1"/>
    <col min="74" max="74" width="21.5703125" style="2" customWidth="1"/>
    <col min="75" max="75" width="12.140625" style="64" customWidth="1"/>
    <col min="76" max="76" width="14.85546875" style="2" customWidth="1"/>
    <col min="77" max="77" width="12.5703125" style="2" customWidth="1"/>
    <col min="78" max="78" width="17.28515625" style="2" customWidth="1"/>
    <col min="79" max="79" width="16.28515625" style="2" customWidth="1"/>
    <col min="80" max="80" width="17.140625" style="2" customWidth="1"/>
    <col min="81" max="81" width="16.28515625" style="64" customWidth="1"/>
    <col min="82" max="82" width="19.5703125" style="2" customWidth="1"/>
    <col min="83" max="83" width="15.28515625" style="2" customWidth="1"/>
    <col min="84" max="84" width="17.42578125" style="2" customWidth="1"/>
    <col min="85" max="85" width="13" style="64" customWidth="1"/>
    <col min="86" max="86" width="18" style="2" customWidth="1"/>
    <col min="87" max="89" width="9.140625" style="64"/>
    <col min="90" max="16384" width="9.140625" style="2"/>
  </cols>
  <sheetData>
    <row r="1" spans="1:88" ht="43.5" x14ac:dyDescent="0.25">
      <c r="A1" s="1" t="s">
        <v>28</v>
      </c>
      <c r="B1" s="1" t="s">
        <v>0</v>
      </c>
      <c r="C1" s="1" t="s">
        <v>46</v>
      </c>
      <c r="D1" s="2" t="s">
        <v>122</v>
      </c>
      <c r="E1" s="1" t="s">
        <v>123</v>
      </c>
      <c r="F1" s="1" t="s">
        <v>124</v>
      </c>
      <c r="G1" s="1" t="s">
        <v>178</v>
      </c>
      <c r="H1" s="1" t="s">
        <v>60</v>
      </c>
      <c r="I1" s="1" t="s">
        <v>61</v>
      </c>
      <c r="J1" s="1" t="s">
        <v>167</v>
      </c>
      <c r="K1" s="2" t="s">
        <v>49</v>
      </c>
      <c r="L1" s="1" t="s">
        <v>38</v>
      </c>
      <c r="M1" s="1" t="s">
        <v>39</v>
      </c>
      <c r="N1" s="1" t="s">
        <v>168</v>
      </c>
      <c r="O1" s="1" t="s">
        <v>40</v>
      </c>
      <c r="P1" s="1" t="s">
        <v>41</v>
      </c>
      <c r="Q1" s="1" t="s">
        <v>179</v>
      </c>
      <c r="R1" s="1" t="s">
        <v>185</v>
      </c>
      <c r="S1" s="1" t="s">
        <v>186</v>
      </c>
      <c r="T1" s="1" t="s">
        <v>187</v>
      </c>
      <c r="U1" s="1" t="s">
        <v>42</v>
      </c>
      <c r="V1" s="1" t="s">
        <v>43</v>
      </c>
      <c r="W1" s="1" t="s">
        <v>164</v>
      </c>
      <c r="X1" s="1" t="s">
        <v>47</v>
      </c>
      <c r="Y1" s="1" t="s">
        <v>48</v>
      </c>
      <c r="Z1" s="1" t="s">
        <v>169</v>
      </c>
      <c r="AA1" s="1" t="s">
        <v>59</v>
      </c>
      <c r="AB1" s="1" t="s">
        <v>58</v>
      </c>
      <c r="AC1" s="1" t="s">
        <v>180</v>
      </c>
      <c r="AD1" s="1" t="s">
        <v>50</v>
      </c>
      <c r="AE1" s="1" t="s">
        <v>51</v>
      </c>
      <c r="AF1" s="1" t="s">
        <v>170</v>
      </c>
      <c r="AG1" s="1" t="s">
        <v>52</v>
      </c>
      <c r="AH1" s="1" t="s">
        <v>53</v>
      </c>
      <c r="AI1" s="1" t="s">
        <v>181</v>
      </c>
      <c r="AJ1" s="1" t="s">
        <v>54</v>
      </c>
      <c r="AK1" s="1" t="s">
        <v>55</v>
      </c>
      <c r="AL1" s="1" t="s">
        <v>182</v>
      </c>
      <c r="AM1" s="1" t="s">
        <v>56</v>
      </c>
      <c r="AN1" s="1" t="s">
        <v>57</v>
      </c>
      <c r="AO1" s="1" t="s">
        <v>183</v>
      </c>
      <c r="AP1" s="1" t="s">
        <v>125</v>
      </c>
      <c r="AQ1" s="1" t="s">
        <v>126</v>
      </c>
      <c r="AR1" s="1" t="s">
        <v>171</v>
      </c>
      <c r="AS1" s="1" t="s">
        <v>127</v>
      </c>
      <c r="AT1" s="1" t="s">
        <v>128</v>
      </c>
      <c r="AU1" s="1" t="s">
        <v>172</v>
      </c>
      <c r="AV1" s="1" t="s">
        <v>129</v>
      </c>
      <c r="AW1" s="1" t="s">
        <v>130</v>
      </c>
      <c r="AX1" s="1" t="s">
        <v>173</v>
      </c>
      <c r="AY1" s="1" t="s">
        <v>72</v>
      </c>
      <c r="AZ1" s="1" t="s">
        <v>62</v>
      </c>
      <c r="BA1" s="1" t="s">
        <v>67</v>
      </c>
      <c r="BB1" s="1" t="s">
        <v>63</v>
      </c>
      <c r="BC1" s="1" t="s">
        <v>68</v>
      </c>
      <c r="BD1" s="1" t="s">
        <v>64</v>
      </c>
      <c r="BE1" s="1" t="s">
        <v>69</v>
      </c>
      <c r="BF1" s="1" t="s">
        <v>65</v>
      </c>
      <c r="BG1" s="1" t="s">
        <v>70</v>
      </c>
      <c r="BH1" s="1" t="s">
        <v>66</v>
      </c>
      <c r="BI1" s="1" t="s">
        <v>71</v>
      </c>
      <c r="BJ1" s="1" t="s">
        <v>191</v>
      </c>
      <c r="BK1" s="1" t="s">
        <v>190</v>
      </c>
      <c r="BL1" s="1" t="s">
        <v>195</v>
      </c>
      <c r="BM1" s="1" t="s">
        <v>133</v>
      </c>
      <c r="BN1" s="1" t="s">
        <v>142</v>
      </c>
      <c r="BO1" s="1" t="s">
        <v>192</v>
      </c>
      <c r="BP1" s="1" t="s">
        <v>193</v>
      </c>
      <c r="BQ1" s="1" t="s">
        <v>194</v>
      </c>
      <c r="BR1" s="1" t="s">
        <v>134</v>
      </c>
      <c r="BS1" s="1" t="s">
        <v>144</v>
      </c>
      <c r="BT1" s="1" t="s">
        <v>166</v>
      </c>
      <c r="BU1" s="2" t="s">
        <v>165</v>
      </c>
      <c r="BV1" s="2" t="s">
        <v>174</v>
      </c>
      <c r="BW1" s="1" t="s">
        <v>135</v>
      </c>
      <c r="BX1" s="1" t="s">
        <v>145</v>
      </c>
      <c r="BY1" s="1" t="s">
        <v>136</v>
      </c>
      <c r="BZ1" s="1" t="s">
        <v>146</v>
      </c>
      <c r="CA1" s="1" t="s">
        <v>137</v>
      </c>
      <c r="CB1" s="1" t="s">
        <v>147</v>
      </c>
      <c r="CC1" s="1" t="s">
        <v>138</v>
      </c>
      <c r="CD1" s="1" t="s">
        <v>148</v>
      </c>
      <c r="CE1" s="1" t="s">
        <v>139</v>
      </c>
      <c r="CF1" s="1" t="s">
        <v>149</v>
      </c>
      <c r="CG1" s="1" t="s">
        <v>140</v>
      </c>
      <c r="CH1" s="1" t="s">
        <v>150</v>
      </c>
      <c r="CJ1" s="1"/>
    </row>
    <row r="2" spans="1:88" x14ac:dyDescent="0.25">
      <c r="A2" s="3" t="s">
        <v>1</v>
      </c>
      <c r="B2" s="1" t="s">
        <v>2</v>
      </c>
      <c r="C2" s="1">
        <v>1</v>
      </c>
      <c r="D2" s="4">
        <v>18.220914440000001</v>
      </c>
      <c r="E2" s="4">
        <f>(O2/H2)*100</f>
        <v>37.158172072317619</v>
      </c>
      <c r="F2" s="4">
        <f>(P2/I2)*100</f>
        <v>39.273648648648646</v>
      </c>
      <c r="G2" s="4">
        <f>F2-E2</f>
        <v>2.1154765763310266</v>
      </c>
      <c r="H2" s="4">
        <v>110.07</v>
      </c>
      <c r="I2" s="4">
        <v>118.4</v>
      </c>
      <c r="J2" s="4">
        <f>I2-H2</f>
        <v>8.3300000000000125</v>
      </c>
      <c r="K2" s="5">
        <v>26</v>
      </c>
      <c r="L2" s="4">
        <v>64.400000000000006</v>
      </c>
      <c r="M2" s="4">
        <v>68.099999999999994</v>
      </c>
      <c r="N2" s="4">
        <f>M2-L2</f>
        <v>3.6999999999999886</v>
      </c>
      <c r="O2" s="4">
        <v>40.9</v>
      </c>
      <c r="P2" s="4">
        <v>46.5</v>
      </c>
      <c r="Q2" s="4">
        <f>P2-O2</f>
        <v>5.6000000000000014</v>
      </c>
      <c r="R2" s="4">
        <v>8.2123411978221412</v>
      </c>
      <c r="S2" s="4">
        <v>9.0290381125226844</v>
      </c>
      <c r="T2" s="4">
        <f>S2-R2</f>
        <v>0.81669691470054318</v>
      </c>
      <c r="U2" s="4">
        <v>1.64</v>
      </c>
      <c r="V2" s="4">
        <v>2.52</v>
      </c>
      <c r="W2" s="4">
        <f>V2-U2</f>
        <v>0.88000000000000012</v>
      </c>
      <c r="X2" s="4">
        <v>151.51519999999999</v>
      </c>
      <c r="Y2" s="4">
        <v>181.37119999999999</v>
      </c>
      <c r="Z2" s="4">
        <f>Y2-X2</f>
        <v>29.855999999999995</v>
      </c>
      <c r="AA2" s="5">
        <v>74.08574591</v>
      </c>
      <c r="AB2" s="5">
        <v>77.572683433751294</v>
      </c>
      <c r="AC2" s="5">
        <f>AB2-AA2</f>
        <v>3.4869375237512941</v>
      </c>
      <c r="AD2" s="5">
        <v>135.28800000000001</v>
      </c>
      <c r="AE2" s="5">
        <v>158.744</v>
      </c>
      <c r="AF2" s="5">
        <f>AE2-AD2</f>
        <v>23.455999999999989</v>
      </c>
      <c r="AG2" s="5">
        <v>106.5904</v>
      </c>
      <c r="AH2" s="5">
        <v>134.94560000000001</v>
      </c>
      <c r="AI2" s="5">
        <f>AH2-AG2</f>
        <v>28.355200000000011</v>
      </c>
      <c r="AJ2" s="5">
        <v>16.2272</v>
      </c>
      <c r="AK2" s="5">
        <v>22.627199999999998</v>
      </c>
      <c r="AL2" s="5">
        <f>AK2-AJ2</f>
        <v>6.3999999999999986</v>
      </c>
      <c r="AM2" s="5">
        <v>100.6784</v>
      </c>
      <c r="AN2" s="5">
        <v>127.7056</v>
      </c>
      <c r="AO2" s="5">
        <f>AN2-AM2</f>
        <v>27.027200000000008</v>
      </c>
      <c r="AP2" s="5">
        <v>166.06170598911069</v>
      </c>
      <c r="AQ2" s="5">
        <v>248.63883847549909</v>
      </c>
      <c r="AR2" s="5">
        <f>AQ2-AP2</f>
        <v>82.577132486388393</v>
      </c>
      <c r="AS2" s="5">
        <v>47.640653357531754</v>
      </c>
      <c r="AT2" s="5">
        <v>80.308529945553531</v>
      </c>
      <c r="AU2" s="5">
        <f>AT2-AS2</f>
        <v>32.667876588021777</v>
      </c>
      <c r="AV2" s="5">
        <v>88.475499092558977</v>
      </c>
      <c r="AW2" s="5">
        <v>117.05989110707803</v>
      </c>
      <c r="AX2" s="5">
        <f>AW2-AV2</f>
        <v>28.584392014519054</v>
      </c>
      <c r="AY2" s="5">
        <v>231992.18</v>
      </c>
      <c r="AZ2" s="5">
        <v>815.1</v>
      </c>
      <c r="BA2" s="5">
        <v>2086.5324999999998</v>
      </c>
      <c r="BB2" s="5">
        <v>33.657499999999999</v>
      </c>
      <c r="BC2" s="5">
        <v>108.6875</v>
      </c>
      <c r="BD2" s="5">
        <v>144.02000000000001</v>
      </c>
      <c r="BE2" s="5">
        <v>168.505</v>
      </c>
      <c r="BF2" s="5">
        <v>43.1175</v>
      </c>
      <c r="BG2" s="5">
        <v>98.245000000000005</v>
      </c>
      <c r="BH2" s="5">
        <v>2.2749999999999999</v>
      </c>
      <c r="BI2" s="5">
        <v>14.8</v>
      </c>
      <c r="BJ2" s="5">
        <v>6734.2054170666661</v>
      </c>
      <c r="BK2" s="5">
        <v>9722.0354135813941</v>
      </c>
      <c r="BL2" s="5">
        <f>BK2-BJ2</f>
        <v>2987.829996514728</v>
      </c>
      <c r="BM2" s="5">
        <v>60</v>
      </c>
      <c r="BN2" s="5">
        <v>43</v>
      </c>
      <c r="BO2" s="5">
        <v>5406.3669695438584</v>
      </c>
      <c r="BP2" s="5">
        <v>7351.5473272195113</v>
      </c>
      <c r="BQ2" s="5">
        <f>BP2-BO2</f>
        <v>1945.1803576756529</v>
      </c>
      <c r="BR2" s="5">
        <v>57</v>
      </c>
      <c r="BS2" s="5">
        <v>41</v>
      </c>
      <c r="BT2" s="5">
        <f t="shared" ref="BT2:BU8" si="0">((BJ2*BM2)+(BO2*BR2))/(BM2+BR2)</f>
        <v>6087.3097631452983</v>
      </c>
      <c r="BU2" s="5">
        <f t="shared" si="0"/>
        <v>8565.011466666665</v>
      </c>
      <c r="BV2" s="5">
        <f>BU2-BT2</f>
        <v>2477.7017035213667</v>
      </c>
      <c r="BW2" s="5">
        <v>77.678657486618292</v>
      </c>
      <c r="BX2" s="5">
        <v>90.278042908305892</v>
      </c>
      <c r="BY2" s="5">
        <v>0.96666666666666667</v>
      </c>
      <c r="BZ2" s="5">
        <v>2.5813953488372094</v>
      </c>
      <c r="CA2" s="5">
        <v>6966.4193969655162</v>
      </c>
      <c r="CB2" s="5">
        <v>3766.1938989549544</v>
      </c>
      <c r="CC2" s="5">
        <v>69.528845796096988</v>
      </c>
      <c r="CD2" s="5">
        <v>77.744799361059705</v>
      </c>
      <c r="CE2" s="5">
        <v>0.84210526315789469</v>
      </c>
      <c r="CF2" s="5">
        <v>1.6829268292682926</v>
      </c>
      <c r="CG2" s="5">
        <v>6420.0607763333319</v>
      </c>
      <c r="CH2" s="5">
        <v>4368.3107306666661</v>
      </c>
    </row>
    <row r="3" spans="1:88" x14ac:dyDescent="0.25">
      <c r="A3" s="3" t="s">
        <v>3</v>
      </c>
      <c r="B3" s="1" t="s">
        <v>4</v>
      </c>
      <c r="C3" s="1">
        <v>2</v>
      </c>
      <c r="D3" s="4">
        <v>19.613084300000001</v>
      </c>
      <c r="E3" s="4">
        <f t="shared" ref="E3:E32" si="1">(O3/H3)*100</f>
        <v>24.090338770388957</v>
      </c>
      <c r="F3" s="4">
        <f t="shared" ref="F3:F32" si="2">(P3/I3)*100</f>
        <v>21.568627450980397</v>
      </c>
      <c r="G3" s="4">
        <f t="shared" ref="G3:G32" si="3">F3-E3</f>
        <v>-2.5217113194085599</v>
      </c>
      <c r="H3" s="4">
        <v>79.7</v>
      </c>
      <c r="I3" s="4">
        <v>81.599999999999994</v>
      </c>
      <c r="J3" s="4">
        <f t="shared" ref="J3:J32" si="4">I3-H3</f>
        <v>1.8999999999999915</v>
      </c>
      <c r="K3" s="5">
        <v>27</v>
      </c>
      <c r="L3" s="4">
        <v>58.7</v>
      </c>
      <c r="M3" s="4">
        <v>61.2</v>
      </c>
      <c r="N3" s="4">
        <f t="shared" ref="N3:N32" si="5">M3-L3</f>
        <v>2.5</v>
      </c>
      <c r="O3" s="4">
        <v>19.2</v>
      </c>
      <c r="P3" s="4">
        <v>17.600000000000001</v>
      </c>
      <c r="Q3" s="4">
        <f t="shared" ref="Q3:Q32" si="6">P3-O3</f>
        <v>-1.5999999999999979</v>
      </c>
      <c r="R3" s="4">
        <v>7.3502722323048992</v>
      </c>
      <c r="S3" s="4">
        <v>7.8493647912885658</v>
      </c>
      <c r="T3" s="4">
        <f t="shared" ref="T3:T32" si="7">S3-R3</f>
        <v>0.49909255898366656</v>
      </c>
      <c r="U3" s="4">
        <v>2.1</v>
      </c>
      <c r="V3" s="4">
        <v>2.29</v>
      </c>
      <c r="W3" s="4">
        <f t="shared" ref="W3:W32" si="8">V3-U3</f>
        <v>0.18999999999999995</v>
      </c>
      <c r="X3" s="4">
        <v>155.49760000000001</v>
      </c>
      <c r="Y3" s="4">
        <v>174.1568</v>
      </c>
      <c r="Z3" s="4">
        <f t="shared" ref="Z3:Z32" si="9">Y3-X3</f>
        <v>18.659199999999998</v>
      </c>
      <c r="AA3" s="5">
        <v>77.620847940000004</v>
      </c>
      <c r="AB3" s="5">
        <v>78.888187196823594</v>
      </c>
      <c r="AC3" s="5">
        <f t="shared" ref="AC3:AC32" si="10">AB3-AA3</f>
        <v>1.2673392568235897</v>
      </c>
      <c r="AD3" s="5">
        <v>146.66560000000001</v>
      </c>
      <c r="AE3" s="5">
        <v>164.392</v>
      </c>
      <c r="AF3" s="5">
        <f t="shared" ref="AF3:AF32" si="11">AE3-AD3</f>
        <v>17.726399999999984</v>
      </c>
      <c r="AG3" s="5">
        <v>47.377600000000001</v>
      </c>
      <c r="AH3" s="5">
        <v>47.814399999999999</v>
      </c>
      <c r="AI3" s="5">
        <f t="shared" ref="AI3:AI32" si="12">AH3-AG3</f>
        <v>0.43679999999999808</v>
      </c>
      <c r="AJ3" s="5">
        <v>8.8320000000000007</v>
      </c>
      <c r="AK3" s="5">
        <v>9.7647999999999993</v>
      </c>
      <c r="AL3" s="5">
        <f t="shared" ref="AL3:AL32" si="13">AK3-AJ3</f>
        <v>0.93279999999999852</v>
      </c>
      <c r="AM3" s="5">
        <v>42.7376</v>
      </c>
      <c r="AN3" s="5">
        <v>42.769599999999997</v>
      </c>
      <c r="AO3" s="5">
        <f t="shared" ref="AO3:AO32" si="14">AN3-AM3</f>
        <v>3.1999999999996476E-2</v>
      </c>
      <c r="AP3" s="5">
        <v>209.61887477313974</v>
      </c>
      <c r="AQ3" s="5">
        <v>329.40108892921955</v>
      </c>
      <c r="AR3" s="5">
        <f t="shared" ref="AR3:AR32" si="15">AQ3-AP3</f>
        <v>119.78221415607982</v>
      </c>
      <c r="AS3" s="5">
        <v>98.003629764065323</v>
      </c>
      <c r="AT3" s="5">
        <v>112.06896551724137</v>
      </c>
      <c r="AU3" s="5">
        <f t="shared" ref="AU3:AU32" si="16">AT3-AS3</f>
        <v>14.065335753176043</v>
      </c>
      <c r="AV3" s="5">
        <v>124.31941923774954</v>
      </c>
      <c r="AW3" s="5">
        <v>167.87658802177856</v>
      </c>
      <c r="AX3" s="5">
        <f t="shared" ref="AX3:AX32" si="17">AW3-AV3</f>
        <v>43.557168784029017</v>
      </c>
      <c r="AY3" s="5">
        <v>292019.06</v>
      </c>
      <c r="AZ3" s="5">
        <v>1989.3325</v>
      </c>
      <c r="BA3" s="5">
        <v>2856.125</v>
      </c>
      <c r="BB3" s="5">
        <v>91.93</v>
      </c>
      <c r="BC3" s="5">
        <v>136.9425</v>
      </c>
      <c r="BD3" s="5">
        <v>615.01750000000004</v>
      </c>
      <c r="BE3" s="5">
        <v>308.95999999999998</v>
      </c>
      <c r="BF3" s="5">
        <v>94.122500000000002</v>
      </c>
      <c r="BG3" s="5">
        <v>121.52475</v>
      </c>
      <c r="BH3" s="5">
        <v>8.6875</v>
      </c>
      <c r="BI3" s="5">
        <v>19.440000000000001</v>
      </c>
      <c r="BJ3" s="5">
        <v>5561.5046685714278</v>
      </c>
      <c r="BK3" s="5">
        <v>7264.638723428573</v>
      </c>
      <c r="BL3" s="5">
        <f t="shared" ref="BL3:BL32" si="18">BK3-BJ3</f>
        <v>1703.1340548571452</v>
      </c>
      <c r="BM3" s="5">
        <v>84</v>
      </c>
      <c r="BN3" s="5">
        <v>84</v>
      </c>
      <c r="BO3" s="5">
        <v>4747.7914854901956</v>
      </c>
      <c r="BP3" s="5">
        <v>4518.7416269714276</v>
      </c>
      <c r="BQ3" s="5">
        <f t="shared" ref="BQ3:BQ32" si="19">BP3-BO3</f>
        <v>-229.04985851876791</v>
      </c>
      <c r="BR3" s="5">
        <v>51</v>
      </c>
      <c r="BS3" s="5">
        <v>35</v>
      </c>
      <c r="BT3" s="5">
        <f t="shared" si="0"/>
        <v>5254.1019105185178</v>
      </c>
      <c r="BU3" s="5">
        <f t="shared" si="0"/>
        <v>6457.021930352942</v>
      </c>
      <c r="BV3" s="5">
        <f t="shared" ref="BV3:BV32" si="20">BU3-BT3</f>
        <v>1202.9200198344242</v>
      </c>
      <c r="BW3" s="5">
        <v>73.917896922801475</v>
      </c>
      <c r="BX3" s="5">
        <v>72.183234573897252</v>
      </c>
      <c r="BY3" s="5">
        <v>1.2857142857142858</v>
      </c>
      <c r="BZ3" s="5">
        <v>2.8333333333333335</v>
      </c>
      <c r="CA3" s="5">
        <v>4325.6147422222211</v>
      </c>
      <c r="CB3" s="5">
        <v>2563.9901376806729</v>
      </c>
      <c r="CC3" s="5">
        <v>67.720758731366004</v>
      </c>
      <c r="CD3" s="5">
        <v>59.864299216107959</v>
      </c>
      <c r="CE3" s="5">
        <v>2.2745098039215685</v>
      </c>
      <c r="CF3" s="5">
        <v>2.2857142857142856</v>
      </c>
      <c r="CG3" s="5">
        <v>2087.3910841379311</v>
      </c>
      <c r="CH3" s="5">
        <v>1976.9494617999997</v>
      </c>
    </row>
    <row r="4" spans="1:88" x14ac:dyDescent="0.25">
      <c r="A4" s="3" t="s">
        <v>29</v>
      </c>
      <c r="B4" s="1" t="s">
        <v>5</v>
      </c>
      <c r="C4" s="1">
        <v>3</v>
      </c>
      <c r="D4" s="4">
        <v>17.140566010000001</v>
      </c>
      <c r="E4" s="4">
        <f t="shared" si="1"/>
        <v>18.167938931297712</v>
      </c>
      <c r="F4" s="4">
        <f t="shared" si="2"/>
        <v>18.142857142857142</v>
      </c>
      <c r="G4" s="4">
        <f t="shared" si="3"/>
        <v>-2.5081788440569852E-2</v>
      </c>
      <c r="H4" s="4">
        <v>65.5</v>
      </c>
      <c r="I4" s="4">
        <v>70</v>
      </c>
      <c r="J4" s="4">
        <f t="shared" si="4"/>
        <v>4.5</v>
      </c>
      <c r="K4" s="5">
        <v>24</v>
      </c>
      <c r="L4" s="4">
        <v>51.3</v>
      </c>
      <c r="M4" s="4">
        <v>54.9</v>
      </c>
      <c r="N4" s="4">
        <f t="shared" si="5"/>
        <v>3.6000000000000014</v>
      </c>
      <c r="O4" s="4">
        <v>11.9</v>
      </c>
      <c r="P4" s="4">
        <v>12.7</v>
      </c>
      <c r="Q4" s="4">
        <f t="shared" si="6"/>
        <v>0.79999999999999893</v>
      </c>
      <c r="R4" s="4">
        <v>6.1252268602540827</v>
      </c>
      <c r="S4" s="4">
        <v>6.7150635208711433</v>
      </c>
      <c r="T4" s="4">
        <f t="shared" si="7"/>
        <v>0.58983666061706064</v>
      </c>
      <c r="U4" s="4">
        <v>1.92</v>
      </c>
      <c r="V4" s="4">
        <v>2.5099999999999998</v>
      </c>
      <c r="W4" s="4">
        <f t="shared" si="8"/>
        <v>0.58999999999999986</v>
      </c>
      <c r="X4" s="4">
        <v>146.50239999999999</v>
      </c>
      <c r="Y4" s="4">
        <v>159.5968</v>
      </c>
      <c r="Z4" s="4">
        <f t="shared" si="9"/>
        <v>13.094400000000007</v>
      </c>
      <c r="AA4" s="5">
        <v>77.348893099999998</v>
      </c>
      <c r="AB4" s="5">
        <v>78.258979027151398</v>
      </c>
      <c r="AC4" s="5">
        <f t="shared" si="10"/>
        <v>0.91008592715139969</v>
      </c>
      <c r="AD4" s="5">
        <v>139.7824</v>
      </c>
      <c r="AE4" s="5">
        <v>150.66239999999999</v>
      </c>
      <c r="AF4" s="5">
        <f t="shared" si="11"/>
        <v>10.879999999999995</v>
      </c>
      <c r="AG4" s="5">
        <v>43.1648</v>
      </c>
      <c r="AH4" s="5">
        <v>45.7744</v>
      </c>
      <c r="AI4" s="5">
        <f t="shared" si="12"/>
        <v>2.6096000000000004</v>
      </c>
      <c r="AJ4" s="5">
        <v>6.72</v>
      </c>
      <c r="AK4" s="5">
        <v>8.9344000000000001</v>
      </c>
      <c r="AL4" s="5">
        <f t="shared" si="13"/>
        <v>2.2144000000000004</v>
      </c>
      <c r="AM4" s="5">
        <v>38.880000000000003</v>
      </c>
      <c r="AN4" s="5">
        <v>41.2896</v>
      </c>
      <c r="AO4" s="5">
        <f t="shared" si="14"/>
        <v>2.4095999999999975</v>
      </c>
      <c r="AP4" s="5">
        <v>122.05081669691469</v>
      </c>
      <c r="AQ4" s="5">
        <v>197.36842105263156</v>
      </c>
      <c r="AR4" s="5">
        <f t="shared" si="15"/>
        <v>75.317604355716867</v>
      </c>
      <c r="AS4" s="5">
        <v>56.261343012704167</v>
      </c>
      <c r="AT4" s="5">
        <v>70.780399274047184</v>
      </c>
      <c r="AU4" s="5">
        <f t="shared" si="16"/>
        <v>14.519056261343017</v>
      </c>
      <c r="AV4" s="5">
        <v>90.290381125226858</v>
      </c>
      <c r="AW4" s="5">
        <v>134.30127041742287</v>
      </c>
      <c r="AX4" s="5">
        <f t="shared" si="17"/>
        <v>44.010889292196012</v>
      </c>
      <c r="AY4" s="5">
        <v>204730.02</v>
      </c>
      <c r="AZ4" s="5">
        <v>1593.2625</v>
      </c>
      <c r="BA4" s="5">
        <v>1969.3652750000001</v>
      </c>
      <c r="BB4" s="5">
        <v>44.645000000000003</v>
      </c>
      <c r="BC4" s="5">
        <v>74.913889999999995</v>
      </c>
      <c r="BD4" s="5">
        <v>90.64</v>
      </c>
      <c r="BE4" s="5">
        <v>228.6091668</v>
      </c>
      <c r="BF4" s="5">
        <v>57.33</v>
      </c>
      <c r="BG4" s="5">
        <v>76.764166750000001</v>
      </c>
      <c r="BH4" s="5">
        <v>13.3125</v>
      </c>
      <c r="BI4" s="5">
        <v>19.947500000000002</v>
      </c>
      <c r="BJ4" s="5">
        <v>3048.4416738543041</v>
      </c>
      <c r="BK4" s="5">
        <v>5866.674688500002</v>
      </c>
      <c r="BL4" s="5">
        <f t="shared" si="18"/>
        <v>2818.2330146456979</v>
      </c>
      <c r="BM4" s="5">
        <v>151</v>
      </c>
      <c r="BN4" s="5">
        <v>64</v>
      </c>
      <c r="BO4" s="5">
        <v>3199.0951149589032</v>
      </c>
      <c r="BP4" s="5">
        <v>5529.7308820645158</v>
      </c>
      <c r="BQ4" s="5">
        <f t="shared" si="19"/>
        <v>2330.6357671056126</v>
      </c>
      <c r="BR4" s="5">
        <v>73</v>
      </c>
      <c r="BS4" s="5">
        <v>62</v>
      </c>
      <c r="BT4" s="5">
        <f t="shared" si="0"/>
        <v>3097.5385542142853</v>
      </c>
      <c r="BU4" s="5">
        <f t="shared" si="0"/>
        <v>5700.8769424761913</v>
      </c>
      <c r="BV4" s="5">
        <f t="shared" si="20"/>
        <v>2603.3383882619059</v>
      </c>
      <c r="BW4" s="5">
        <v>51.108207382100247</v>
      </c>
      <c r="BX4" s="5">
        <v>74.746558362640414</v>
      </c>
      <c r="BY4" s="5">
        <v>1.0794701986754967</v>
      </c>
      <c r="BZ4" s="5">
        <v>1.03125</v>
      </c>
      <c r="CA4" s="5">
        <v>2824.0165199509197</v>
      </c>
      <c r="CB4" s="5">
        <v>5688.8966676363652</v>
      </c>
      <c r="CC4" s="5">
        <v>54.623649223897999</v>
      </c>
      <c r="CD4" s="5">
        <v>72.700923333061411</v>
      </c>
      <c r="CE4" s="5">
        <v>2.4246575342465753</v>
      </c>
      <c r="CF4" s="5">
        <v>0.93548387096774188</v>
      </c>
      <c r="CG4" s="5">
        <v>1319.4008101242935</v>
      </c>
      <c r="CH4" s="5">
        <v>5911.0916325517237</v>
      </c>
    </row>
    <row r="5" spans="1:88" x14ac:dyDescent="0.25">
      <c r="A5" s="3" t="s">
        <v>30</v>
      </c>
      <c r="B5" s="1" t="s">
        <v>2</v>
      </c>
      <c r="C5" s="1">
        <v>1</v>
      </c>
      <c r="D5" s="4">
        <v>17.789706939999999</v>
      </c>
      <c r="E5" s="4">
        <f t="shared" si="1"/>
        <v>19.97319034852547</v>
      </c>
      <c r="F5" s="4">
        <f t="shared" si="2"/>
        <v>19.17989417989418</v>
      </c>
      <c r="G5" s="4">
        <f t="shared" si="3"/>
        <v>-0.79329616863129004</v>
      </c>
      <c r="H5" s="4">
        <v>74.599999999999994</v>
      </c>
      <c r="I5" s="4">
        <v>75.599999999999994</v>
      </c>
      <c r="J5" s="4">
        <f t="shared" si="4"/>
        <v>1</v>
      </c>
      <c r="K5" s="5">
        <v>19</v>
      </c>
      <c r="L5" s="4">
        <v>57</v>
      </c>
      <c r="M5" s="4">
        <v>58</v>
      </c>
      <c r="N5" s="4">
        <f t="shared" si="5"/>
        <v>1</v>
      </c>
      <c r="O5" s="4">
        <v>14.9</v>
      </c>
      <c r="P5" s="4">
        <v>14.5</v>
      </c>
      <c r="Q5" s="4">
        <f t="shared" si="6"/>
        <v>-0.40000000000000036</v>
      </c>
      <c r="R5" s="4">
        <v>7.745009074410163</v>
      </c>
      <c r="S5" s="4">
        <v>8.3166969147005432</v>
      </c>
      <c r="T5" s="4">
        <f t="shared" si="7"/>
        <v>0.57168784029038022</v>
      </c>
      <c r="U5" s="4">
        <v>1.61</v>
      </c>
      <c r="V5" s="4">
        <v>1.68</v>
      </c>
      <c r="W5" s="4">
        <f t="shared" si="8"/>
        <v>6.999999999999984E-2</v>
      </c>
      <c r="X5" s="4">
        <v>145.792</v>
      </c>
      <c r="Y5" s="4">
        <v>152.4512</v>
      </c>
      <c r="Z5" s="4">
        <f t="shared" si="9"/>
        <v>6.6591999999999985</v>
      </c>
      <c r="AA5" s="5">
        <v>78.170538759999999</v>
      </c>
      <c r="AB5" s="5">
        <v>79.387768854557194</v>
      </c>
      <c r="AC5" s="5">
        <f t="shared" si="10"/>
        <v>1.2172300945571948</v>
      </c>
      <c r="AD5" s="5">
        <v>139.23840000000001</v>
      </c>
      <c r="AE5" s="5">
        <v>145.7824</v>
      </c>
      <c r="AF5" s="5">
        <f t="shared" si="11"/>
        <v>6.5439999999999827</v>
      </c>
      <c r="AG5" s="5">
        <v>53.726399999999998</v>
      </c>
      <c r="AH5" s="5">
        <v>51.008000000000003</v>
      </c>
      <c r="AI5" s="5">
        <f t="shared" si="12"/>
        <v>-2.7183999999999955</v>
      </c>
      <c r="AJ5" s="5">
        <v>6.5536000000000003</v>
      </c>
      <c r="AK5" s="5">
        <v>6.6688000000000001</v>
      </c>
      <c r="AL5" s="5">
        <f t="shared" si="13"/>
        <v>0.11519999999999975</v>
      </c>
      <c r="AM5" s="5">
        <v>49.614400000000003</v>
      </c>
      <c r="AN5" s="5">
        <v>46.5456</v>
      </c>
      <c r="AO5" s="5">
        <f t="shared" si="14"/>
        <v>-3.0688000000000031</v>
      </c>
      <c r="AP5" s="5">
        <v>209.61887477313974</v>
      </c>
      <c r="AQ5" s="5">
        <v>280.39927404718691</v>
      </c>
      <c r="AR5" s="5">
        <f t="shared" si="15"/>
        <v>70.78039927404717</v>
      </c>
      <c r="AS5" s="5">
        <v>64.42831215970962</v>
      </c>
      <c r="AT5" s="5">
        <v>75.771324863883848</v>
      </c>
      <c r="AU5" s="5">
        <f t="shared" si="16"/>
        <v>11.343012704174228</v>
      </c>
      <c r="AV5" s="5">
        <v>124.31941923774954</v>
      </c>
      <c r="AW5" s="5">
        <v>161.07078039927404</v>
      </c>
      <c r="AX5" s="5">
        <f t="shared" si="17"/>
        <v>36.7513611615245</v>
      </c>
      <c r="AY5" s="5">
        <v>269838.98</v>
      </c>
      <c r="AZ5" s="5">
        <v>787.1825</v>
      </c>
      <c r="BA5" s="5">
        <v>2647.05</v>
      </c>
      <c r="BB5" s="5">
        <v>66.097499999999997</v>
      </c>
      <c r="BC5" s="5">
        <v>106.30249999999999</v>
      </c>
      <c r="BD5" s="5">
        <v>251.81</v>
      </c>
      <c r="BE5" s="5">
        <v>268.07499999999999</v>
      </c>
      <c r="BF5" s="5">
        <v>87.465000000000003</v>
      </c>
      <c r="BG5" s="5">
        <v>130.5675</v>
      </c>
      <c r="BH5" s="5">
        <v>17.602499999999999</v>
      </c>
      <c r="BI5" s="5">
        <v>17.112500000000001</v>
      </c>
      <c r="BJ5" s="5">
        <v>3983.5671495145634</v>
      </c>
      <c r="BK5" s="5">
        <v>8118.8977591111097</v>
      </c>
      <c r="BL5" s="5">
        <f t="shared" si="18"/>
        <v>4135.3306095965463</v>
      </c>
      <c r="BM5" s="5">
        <v>103</v>
      </c>
      <c r="BN5" s="5">
        <v>54</v>
      </c>
      <c r="BO5" s="5">
        <v>3898.0312665168535</v>
      </c>
      <c r="BP5" s="5">
        <v>6512.3930392195116</v>
      </c>
      <c r="BQ5" s="5">
        <f t="shared" si="19"/>
        <v>2614.3617727026581</v>
      </c>
      <c r="BR5" s="5">
        <v>89</v>
      </c>
      <c r="BS5" s="5">
        <v>41</v>
      </c>
      <c r="BT5" s="5">
        <f t="shared" si="0"/>
        <v>3943.9177037499999</v>
      </c>
      <c r="BU5" s="5">
        <f t="shared" si="0"/>
        <v>7425.5641431578933</v>
      </c>
      <c r="BV5" s="5">
        <f t="shared" si="20"/>
        <v>3481.6464394078935</v>
      </c>
      <c r="BW5" s="5">
        <v>62.140283389101384</v>
      </c>
      <c r="BX5" s="5">
        <v>81.611633475753848</v>
      </c>
      <c r="BY5" s="5">
        <v>0.37864077669902912</v>
      </c>
      <c r="BZ5" s="5">
        <v>2.2962962962962963</v>
      </c>
      <c r="CA5" s="5">
        <v>10520.702984615386</v>
      </c>
      <c r="CB5" s="5">
        <v>3535.6490241290317</v>
      </c>
      <c r="CC5" s="5">
        <v>59.690138479078477</v>
      </c>
      <c r="CD5" s="5">
        <v>74.910769378936692</v>
      </c>
      <c r="CE5" s="5">
        <v>0.30337078651685395</v>
      </c>
      <c r="CF5" s="5">
        <v>1.6585365853658536</v>
      </c>
      <c r="CG5" s="5">
        <v>12849.066026666664</v>
      </c>
      <c r="CH5" s="5">
        <v>3926.5899207058824</v>
      </c>
    </row>
    <row r="6" spans="1:88" x14ac:dyDescent="0.25">
      <c r="A6" s="3" t="s">
        <v>31</v>
      </c>
      <c r="B6" s="1" t="s">
        <v>5</v>
      </c>
      <c r="C6" s="1">
        <v>3</v>
      </c>
      <c r="D6" s="4">
        <v>17.840264650000002</v>
      </c>
      <c r="E6" s="4">
        <f t="shared" si="1"/>
        <v>15.139442231075698</v>
      </c>
      <c r="F6" s="4">
        <f t="shared" si="2"/>
        <v>16.776750330250991</v>
      </c>
      <c r="G6" s="4">
        <f t="shared" si="3"/>
        <v>1.6373080991752929</v>
      </c>
      <c r="H6" s="4">
        <v>75.3</v>
      </c>
      <c r="I6" s="4">
        <v>75.7</v>
      </c>
      <c r="J6" s="4">
        <f t="shared" si="4"/>
        <v>0.40000000000000568</v>
      </c>
      <c r="K6" s="5">
        <v>23</v>
      </c>
      <c r="L6" s="4">
        <v>60.4</v>
      </c>
      <c r="M6" s="4">
        <v>60.3</v>
      </c>
      <c r="N6" s="4">
        <f t="shared" si="5"/>
        <v>-0.10000000000000142</v>
      </c>
      <c r="O6" s="4">
        <v>11.4</v>
      </c>
      <c r="P6" s="4">
        <v>12.7</v>
      </c>
      <c r="Q6" s="4">
        <f t="shared" si="6"/>
        <v>1.2999999999999989</v>
      </c>
      <c r="R6" s="4">
        <v>7.6225045372050815</v>
      </c>
      <c r="S6" s="4">
        <v>7.940108892921959</v>
      </c>
      <c r="T6" s="4">
        <f t="shared" si="7"/>
        <v>0.31760435571687751</v>
      </c>
      <c r="U6" s="4">
        <v>2.92</v>
      </c>
      <c r="V6" s="4">
        <v>3</v>
      </c>
      <c r="W6" s="4">
        <f t="shared" si="8"/>
        <v>8.0000000000000071E-2</v>
      </c>
      <c r="X6" s="4">
        <v>154.48320000000001</v>
      </c>
      <c r="Y6" s="4">
        <v>176.9264</v>
      </c>
      <c r="Z6" s="4">
        <f t="shared" si="9"/>
        <v>22.44319999999999</v>
      </c>
      <c r="AA6" s="5">
        <v>78.451302470000002</v>
      </c>
      <c r="AB6" s="5">
        <v>78.968126353101994</v>
      </c>
      <c r="AC6" s="5">
        <f t="shared" si="10"/>
        <v>0.51682388310199201</v>
      </c>
      <c r="AD6" s="5">
        <v>148.24</v>
      </c>
      <c r="AE6" s="5">
        <v>167.75200000000001</v>
      </c>
      <c r="AF6" s="5">
        <f t="shared" si="11"/>
        <v>19.512</v>
      </c>
      <c r="AG6" s="5">
        <v>36.308799999999998</v>
      </c>
      <c r="AH6" s="5">
        <v>37.849600000000002</v>
      </c>
      <c r="AI6" s="5">
        <f t="shared" si="12"/>
        <v>1.5408000000000044</v>
      </c>
      <c r="AJ6" s="5">
        <v>6.2431999999999999</v>
      </c>
      <c r="AK6" s="5">
        <v>9.1744000000000003</v>
      </c>
      <c r="AL6" s="5">
        <f t="shared" si="13"/>
        <v>2.9312000000000005</v>
      </c>
      <c r="AM6" s="5">
        <v>31.595199999999998</v>
      </c>
      <c r="AN6" s="5">
        <v>32.8352</v>
      </c>
      <c r="AO6" s="5">
        <f t="shared" si="14"/>
        <v>1.240000000000002</v>
      </c>
      <c r="AP6" s="5">
        <v>141.56079854809437</v>
      </c>
      <c r="AQ6" s="5">
        <v>200.09074410163339</v>
      </c>
      <c r="AR6" s="5">
        <f t="shared" si="15"/>
        <v>58.529945553539022</v>
      </c>
      <c r="AS6" s="5">
        <v>70.326678765880217</v>
      </c>
      <c r="AT6" s="5">
        <v>80.308529945553531</v>
      </c>
      <c r="AU6" s="5">
        <f t="shared" si="16"/>
        <v>9.9818511796733134</v>
      </c>
      <c r="AV6" s="5">
        <v>117.05989110707803</v>
      </c>
      <c r="AW6" s="5">
        <v>146.55172413793102</v>
      </c>
      <c r="AX6" s="5">
        <f t="shared" si="17"/>
        <v>29.491833030852987</v>
      </c>
      <c r="AY6" s="5">
        <v>208856.64</v>
      </c>
      <c r="AZ6" s="5">
        <v>1754.8425</v>
      </c>
      <c r="BA6" s="5">
        <v>1668.235275</v>
      </c>
      <c r="BB6" s="5">
        <v>102.39</v>
      </c>
      <c r="BC6" s="5">
        <v>84.378889999999998</v>
      </c>
      <c r="BD6" s="5">
        <v>237.58250000000001</v>
      </c>
      <c r="BE6" s="5">
        <v>171.77666679999999</v>
      </c>
      <c r="BF6" s="5">
        <v>78.155000000000001</v>
      </c>
      <c r="BG6" s="5">
        <v>74.424166749999998</v>
      </c>
      <c r="BH6" s="5">
        <v>0.98250000000000004</v>
      </c>
      <c r="BI6" s="5">
        <v>20.3675</v>
      </c>
      <c r="BJ6" s="5">
        <v>6450.1332805423717</v>
      </c>
      <c r="BK6" s="5">
        <v>8897.2228726153844</v>
      </c>
      <c r="BL6" s="5">
        <f t="shared" si="18"/>
        <v>2447.0895920730127</v>
      </c>
      <c r="BM6" s="5">
        <v>59</v>
      </c>
      <c r="BN6" s="5">
        <v>65</v>
      </c>
      <c r="BO6" s="5">
        <v>5607.234954754098</v>
      </c>
      <c r="BP6" s="5">
        <v>5640.9860278857122</v>
      </c>
      <c r="BQ6" s="5">
        <f t="shared" si="19"/>
        <v>33.751073131614248</v>
      </c>
      <c r="BR6" s="5">
        <v>61</v>
      </c>
      <c r="BS6" s="5">
        <v>35</v>
      </c>
      <c r="BT6" s="5">
        <f t="shared" si="0"/>
        <v>6021.659964933332</v>
      </c>
      <c r="BU6" s="5">
        <f t="shared" si="0"/>
        <v>7757.539976959999</v>
      </c>
      <c r="BV6" s="5">
        <f t="shared" si="20"/>
        <v>1735.8800120266669</v>
      </c>
      <c r="BW6" s="5">
        <v>77.005196853508281</v>
      </c>
      <c r="BX6" s="5">
        <v>85.182831591584971</v>
      </c>
      <c r="BY6" s="5">
        <v>2.2033898305084745</v>
      </c>
      <c r="BZ6" s="5">
        <v>1</v>
      </c>
      <c r="CA6" s="5">
        <v>2927.3681811692304</v>
      </c>
      <c r="CB6" s="5">
        <v>8897.2228726153844</v>
      </c>
      <c r="CC6" s="5">
        <v>72.011183039999423</v>
      </c>
      <c r="CD6" s="5">
        <v>69.675918730664165</v>
      </c>
      <c r="CE6" s="5">
        <v>1.459016393442623</v>
      </c>
      <c r="CF6" s="5">
        <v>0.65714285714285714</v>
      </c>
      <c r="CG6" s="5">
        <v>3843.1610364044941</v>
      </c>
      <c r="CH6" s="5">
        <v>8584.1091728695628</v>
      </c>
    </row>
    <row r="7" spans="1:88" x14ac:dyDescent="0.25">
      <c r="A7" s="3" t="s">
        <v>6</v>
      </c>
      <c r="B7" s="1" t="s">
        <v>5</v>
      </c>
      <c r="C7" s="1">
        <v>3</v>
      </c>
      <c r="D7" s="4">
        <v>16.372080589999999</v>
      </c>
      <c r="E7" s="4">
        <f t="shared" si="1"/>
        <v>25.942028985507243</v>
      </c>
      <c r="F7" s="4">
        <f t="shared" si="2"/>
        <v>23.848238482384826</v>
      </c>
      <c r="G7" s="4">
        <f t="shared" si="3"/>
        <v>-2.0937905031224169</v>
      </c>
      <c r="H7" s="4">
        <v>69</v>
      </c>
      <c r="I7" s="4">
        <v>73.8</v>
      </c>
      <c r="J7" s="4">
        <f t="shared" si="4"/>
        <v>4.7999999999999972</v>
      </c>
      <c r="K7" s="5">
        <v>29</v>
      </c>
      <c r="L7" s="4">
        <v>49</v>
      </c>
      <c r="M7" s="4">
        <v>53.3</v>
      </c>
      <c r="N7" s="4">
        <f t="shared" si="5"/>
        <v>4.2999999999999972</v>
      </c>
      <c r="O7" s="4">
        <v>17.899999999999999</v>
      </c>
      <c r="P7" s="4">
        <v>17.600000000000001</v>
      </c>
      <c r="Q7" s="4">
        <f t="shared" si="6"/>
        <v>-0.29999999999999716</v>
      </c>
      <c r="R7" s="4">
        <v>5.9437386569872954</v>
      </c>
      <c r="S7" s="4">
        <v>6.488203266787659</v>
      </c>
      <c r="T7" s="4">
        <f t="shared" si="7"/>
        <v>0.5444646098003636</v>
      </c>
      <c r="U7" s="4">
        <v>2.02</v>
      </c>
      <c r="V7" s="4">
        <v>2.15</v>
      </c>
      <c r="W7" s="4">
        <f t="shared" si="8"/>
        <v>0.12999999999999989</v>
      </c>
      <c r="X7" s="4">
        <v>126.5264</v>
      </c>
      <c r="Y7" s="4">
        <v>138.6832</v>
      </c>
      <c r="Z7" s="4">
        <f t="shared" si="9"/>
        <v>12.156800000000004</v>
      </c>
      <c r="AA7" s="5">
        <v>75.726762149999999</v>
      </c>
      <c r="AB7" s="5">
        <v>76.750792574729701</v>
      </c>
      <c r="AC7" s="5">
        <f t="shared" si="10"/>
        <v>1.0240304247297018</v>
      </c>
      <c r="AD7" s="5">
        <v>120.80800000000001</v>
      </c>
      <c r="AE7" s="5">
        <v>131.70079999999999</v>
      </c>
      <c r="AF7" s="5">
        <f t="shared" si="11"/>
        <v>10.89279999999998</v>
      </c>
      <c r="AG7" s="5">
        <v>48.585599999999999</v>
      </c>
      <c r="AH7" s="5">
        <v>48.027200000000001</v>
      </c>
      <c r="AI7" s="5">
        <f t="shared" si="12"/>
        <v>-0.5583999999999989</v>
      </c>
      <c r="AJ7" s="5">
        <v>5.7183999999999999</v>
      </c>
      <c r="AK7" s="5">
        <v>6.9824000000000002</v>
      </c>
      <c r="AL7" s="5">
        <f t="shared" si="13"/>
        <v>1.2640000000000002</v>
      </c>
      <c r="AM7" s="5">
        <v>44.491199999999999</v>
      </c>
      <c r="AN7" s="5">
        <v>43.856000000000002</v>
      </c>
      <c r="AO7" s="5">
        <f t="shared" si="14"/>
        <v>-0.63519999999999754</v>
      </c>
      <c r="AP7" s="5">
        <v>131.57894736842104</v>
      </c>
      <c r="AQ7" s="5">
        <v>168.33030852994554</v>
      </c>
      <c r="AR7" s="5">
        <f t="shared" si="15"/>
        <v>36.7513611615245</v>
      </c>
      <c r="AS7" s="5">
        <v>65.78947368421052</v>
      </c>
      <c r="AT7" s="5">
        <v>81.215970961887464</v>
      </c>
      <c r="AU7" s="5">
        <f t="shared" si="16"/>
        <v>15.426497277676944</v>
      </c>
      <c r="AV7" s="5">
        <v>90.290381125226858</v>
      </c>
      <c r="AW7" s="5">
        <v>138.38475499092559</v>
      </c>
      <c r="AX7" s="5">
        <f t="shared" si="17"/>
        <v>48.094373865698728</v>
      </c>
      <c r="AY7" s="5">
        <v>171667.51</v>
      </c>
      <c r="AZ7" s="5">
        <v>1062.48</v>
      </c>
      <c r="BA7" s="5">
        <v>2077.7502749999999</v>
      </c>
      <c r="BB7" s="5">
        <v>28.3675</v>
      </c>
      <c r="BC7" s="5">
        <v>91.536389999999997</v>
      </c>
      <c r="BD7" s="5">
        <v>138.5975</v>
      </c>
      <c r="BE7" s="5">
        <v>198.6966668</v>
      </c>
      <c r="BF7" s="5">
        <v>256.83</v>
      </c>
      <c r="BG7" s="5">
        <v>83.379166749999996</v>
      </c>
      <c r="BH7" s="5">
        <v>5.9474999999999998</v>
      </c>
      <c r="BI7" s="5">
        <v>10.32</v>
      </c>
      <c r="BJ7" s="5">
        <v>4845.868410234234</v>
      </c>
      <c r="BK7" s="5">
        <v>6591.1809180377368</v>
      </c>
      <c r="BL7" s="5">
        <f t="shared" si="18"/>
        <v>1745.3125078035027</v>
      </c>
      <c r="BM7" s="5">
        <v>111</v>
      </c>
      <c r="BN7" s="5">
        <v>106</v>
      </c>
      <c r="BO7" s="5">
        <v>3469.9080434626858</v>
      </c>
      <c r="BP7" s="5">
        <v>3631.8577309090906</v>
      </c>
      <c r="BQ7" s="5">
        <f t="shared" si="19"/>
        <v>161.94968744640482</v>
      </c>
      <c r="BR7" s="5">
        <v>67</v>
      </c>
      <c r="BS7" s="5">
        <v>22</v>
      </c>
      <c r="BT7" s="5">
        <f t="shared" si="0"/>
        <v>4327.9507440898869</v>
      </c>
      <c r="BU7" s="5">
        <f t="shared" si="0"/>
        <v>6082.5472452500007</v>
      </c>
      <c r="BV7" s="5">
        <f t="shared" si="20"/>
        <v>1754.5965011601138</v>
      </c>
      <c r="BW7" s="5">
        <v>65.599970071964051</v>
      </c>
      <c r="BX7" s="5">
        <v>78.914122310168082</v>
      </c>
      <c r="BY7" s="5">
        <v>0.77477477477477474</v>
      </c>
      <c r="BZ7" s="5">
        <v>0.56603773584905659</v>
      </c>
      <c r="CA7" s="5">
        <v>6254.5510876279068</v>
      </c>
      <c r="CB7" s="5">
        <v>11644.419621866669</v>
      </c>
      <c r="CC7" s="5">
        <v>56.779944771640508</v>
      </c>
      <c r="CD7" s="5">
        <v>57.879087613735123</v>
      </c>
      <c r="CE7" s="5">
        <v>0.32835820895522388</v>
      </c>
      <c r="CF7" s="5">
        <v>0.68181818181818177</v>
      </c>
      <c r="CG7" s="5">
        <v>10567.447223272724</v>
      </c>
      <c r="CH7" s="5">
        <v>5326.7246720000003</v>
      </c>
    </row>
    <row r="8" spans="1:88" x14ac:dyDescent="0.25">
      <c r="A8" s="3" t="s">
        <v>7</v>
      </c>
      <c r="B8" s="1" t="s">
        <v>2</v>
      </c>
      <c r="C8" s="1">
        <v>1</v>
      </c>
      <c r="D8" s="4">
        <v>16.107520260000001</v>
      </c>
      <c r="E8" s="4">
        <f t="shared" si="1"/>
        <v>17.052980132450333</v>
      </c>
      <c r="F8" s="4">
        <f t="shared" si="2"/>
        <v>14.237288135593221</v>
      </c>
      <c r="G8" s="4">
        <f t="shared" si="3"/>
        <v>-2.8156919968571117</v>
      </c>
      <c r="H8" s="4">
        <v>60.4</v>
      </c>
      <c r="I8" s="4">
        <v>59</v>
      </c>
      <c r="J8" s="4">
        <f t="shared" si="4"/>
        <v>-1.3999999999999986</v>
      </c>
      <c r="K8" s="5">
        <v>22</v>
      </c>
      <c r="L8" s="4">
        <v>47.1</v>
      </c>
      <c r="M8" s="4">
        <v>48.1</v>
      </c>
      <c r="N8" s="4">
        <f t="shared" si="5"/>
        <v>1</v>
      </c>
      <c r="O8" s="4">
        <v>10.3</v>
      </c>
      <c r="P8" s="4">
        <v>8.4</v>
      </c>
      <c r="Q8" s="4">
        <f t="shared" si="6"/>
        <v>-1.9000000000000004</v>
      </c>
      <c r="R8" s="4">
        <v>5.2631578947368416</v>
      </c>
      <c r="S8" s="4">
        <v>5.626134301270417</v>
      </c>
      <c r="T8" s="4">
        <f t="shared" si="7"/>
        <v>0.36297640653357544</v>
      </c>
      <c r="U8" s="4">
        <v>1.1299999999999999</v>
      </c>
      <c r="V8" s="4">
        <v>2.1</v>
      </c>
      <c r="W8" s="4">
        <f t="shared" si="8"/>
        <v>0.9700000000000002</v>
      </c>
      <c r="X8" s="4">
        <v>107.8832</v>
      </c>
      <c r="Y8" s="4">
        <v>120.5232</v>
      </c>
      <c r="Z8" s="4">
        <f t="shared" si="9"/>
        <v>12.64</v>
      </c>
      <c r="AA8" s="5">
        <v>77.846375429999995</v>
      </c>
      <c r="AB8" s="5">
        <v>79.409118855126593</v>
      </c>
      <c r="AC8" s="5">
        <f t="shared" si="10"/>
        <v>1.5627434251265981</v>
      </c>
      <c r="AD8" s="5">
        <v>105.7008</v>
      </c>
      <c r="AE8" s="5">
        <v>118.68640000000001</v>
      </c>
      <c r="AF8" s="5">
        <f t="shared" si="11"/>
        <v>12.985600000000005</v>
      </c>
      <c r="AG8" s="5">
        <v>28.564800000000002</v>
      </c>
      <c r="AH8" s="5">
        <v>24.851199999999999</v>
      </c>
      <c r="AI8" s="5">
        <f t="shared" si="12"/>
        <v>-3.7136000000000031</v>
      </c>
      <c r="AJ8" s="5">
        <v>2.1823999999999999</v>
      </c>
      <c r="AK8" s="5">
        <v>1.8368</v>
      </c>
      <c r="AL8" s="5">
        <f t="shared" si="13"/>
        <v>-0.34559999999999991</v>
      </c>
      <c r="AM8" s="5">
        <v>25.073599999999999</v>
      </c>
      <c r="AN8" s="5">
        <v>21.2912</v>
      </c>
      <c r="AO8" s="5">
        <f t="shared" si="14"/>
        <v>-3.7823999999999991</v>
      </c>
      <c r="AP8" s="5">
        <v>68.511796733212336</v>
      </c>
      <c r="AQ8" s="5">
        <v>153.81125226860252</v>
      </c>
      <c r="AR8" s="5">
        <f t="shared" si="15"/>
        <v>85.29945553539018</v>
      </c>
      <c r="AS8" s="5">
        <v>50.362976406533569</v>
      </c>
      <c r="AT8" s="5">
        <v>52.631578947368418</v>
      </c>
      <c r="AU8" s="5">
        <f t="shared" si="16"/>
        <v>2.2686025408348485</v>
      </c>
      <c r="AV8" s="5">
        <v>70.780399274047184</v>
      </c>
      <c r="AW8" s="5">
        <v>92.558983666061692</v>
      </c>
      <c r="AX8" s="5">
        <f t="shared" si="17"/>
        <v>21.778584392014508</v>
      </c>
      <c r="AY8" s="5">
        <v>141920.48000000001</v>
      </c>
      <c r="AZ8" s="5">
        <v>292.52999999999997</v>
      </c>
      <c r="BA8" s="5">
        <v>2400.4949999999999</v>
      </c>
      <c r="BB8" s="5">
        <v>35.352499999999999</v>
      </c>
      <c r="BC8" s="5">
        <v>99.832499999999996</v>
      </c>
      <c r="BD8" s="5">
        <v>80.105000000000004</v>
      </c>
      <c r="BE8" s="5">
        <v>340.75</v>
      </c>
      <c r="BF8" s="5">
        <v>32.502499999999998</v>
      </c>
      <c r="BG8" s="5">
        <v>68.772499999999994</v>
      </c>
      <c r="BH8" s="5">
        <v>6.5449999999999999</v>
      </c>
      <c r="BI8" s="5">
        <v>14.1975</v>
      </c>
      <c r="BJ8" s="5">
        <v>4096.5714387070684</v>
      </c>
      <c r="BK8" s="5">
        <v>4983.7363558991592</v>
      </c>
      <c r="BL8" s="5">
        <f t="shared" si="18"/>
        <v>887.1649171920908</v>
      </c>
      <c r="BM8" s="5">
        <v>99</v>
      </c>
      <c r="BN8" s="5">
        <v>119</v>
      </c>
      <c r="BO8" s="5">
        <v>3254.8959227368409</v>
      </c>
      <c r="BP8" s="5">
        <v>2725.2309212121204</v>
      </c>
      <c r="BQ8" s="5">
        <f t="shared" si="19"/>
        <v>-529.66500152472054</v>
      </c>
      <c r="BR8" s="5">
        <v>76</v>
      </c>
      <c r="BS8" s="5">
        <v>66</v>
      </c>
      <c r="BT8" s="5">
        <f t="shared" si="0"/>
        <v>3731.0437860571415</v>
      </c>
      <c r="BU8" s="5">
        <f t="shared" si="0"/>
        <v>4177.999281902702</v>
      </c>
      <c r="BV8" s="5">
        <f t="shared" si="20"/>
        <v>446.95549584556056</v>
      </c>
      <c r="BW8" s="5">
        <v>59.969390167990312</v>
      </c>
      <c r="BX8" s="5">
        <v>70.343976259753049</v>
      </c>
      <c r="BY8" s="5">
        <v>0.39393939393939392</v>
      </c>
      <c r="BZ8" s="5">
        <v>0.42857142857142855</v>
      </c>
      <c r="CA8" s="5">
        <v>10398.989036717943</v>
      </c>
      <c r="CB8" s="5">
        <v>11628.718163764706</v>
      </c>
      <c r="CC8" s="5">
        <v>53.766782346888718</v>
      </c>
      <c r="CD8" s="5">
        <v>50.807802112691277</v>
      </c>
      <c r="CE8" s="5">
        <v>0.57894736842105265</v>
      </c>
      <c r="CF8" s="5">
        <v>0.34848484848484851</v>
      </c>
      <c r="CG8" s="5">
        <v>5622.0929574545435</v>
      </c>
      <c r="CH8" s="5">
        <v>7820.2278608695624</v>
      </c>
    </row>
    <row r="9" spans="1:88" x14ac:dyDescent="0.25">
      <c r="A9" s="3" t="s">
        <v>8</v>
      </c>
      <c r="B9" s="1" t="s">
        <v>2</v>
      </c>
      <c r="C9" s="1">
        <v>1</v>
      </c>
      <c r="D9" s="4">
        <v>18.628616730000001</v>
      </c>
      <c r="E9" s="4">
        <f t="shared" si="1"/>
        <v>13.69661266568483</v>
      </c>
      <c r="F9" s="4">
        <f t="shared" si="2"/>
        <v>15.083798882681569</v>
      </c>
      <c r="G9" s="4">
        <f t="shared" si="3"/>
        <v>1.3871862169967386</v>
      </c>
      <c r="H9" s="4">
        <v>67.900000000000006</v>
      </c>
      <c r="I9" s="4">
        <v>71.599999999999994</v>
      </c>
      <c r="J9" s="4">
        <f t="shared" si="4"/>
        <v>3.6999999999999886</v>
      </c>
      <c r="K9" s="5">
        <v>20</v>
      </c>
      <c r="L9" s="4">
        <v>56.4</v>
      </c>
      <c r="M9" s="4">
        <v>58.6</v>
      </c>
      <c r="N9" s="4">
        <f t="shared" si="5"/>
        <v>2.2000000000000028</v>
      </c>
      <c r="O9" s="4">
        <v>9.3000000000000007</v>
      </c>
      <c r="P9" s="4">
        <v>10.8</v>
      </c>
      <c r="Q9" s="4">
        <f t="shared" si="6"/>
        <v>1.5</v>
      </c>
      <c r="R9" s="4">
        <v>7.214156079854809</v>
      </c>
      <c r="S9" s="4">
        <v>7.3502722323048992</v>
      </c>
      <c r="T9" s="4">
        <f t="shared" si="7"/>
        <v>0.13611615245009023</v>
      </c>
      <c r="U9" s="4">
        <v>2.0299999999999998</v>
      </c>
      <c r="V9" s="4">
        <v>2.46</v>
      </c>
      <c r="W9" s="4">
        <f t="shared" si="8"/>
        <v>0.43000000000000016</v>
      </c>
      <c r="X9" s="4">
        <v>139.63839999999999</v>
      </c>
      <c r="Y9" s="4">
        <v>151.4624</v>
      </c>
      <c r="Z9" s="4">
        <f t="shared" si="9"/>
        <v>11.824000000000012</v>
      </c>
      <c r="AA9" s="5">
        <v>77.456728100000007</v>
      </c>
      <c r="AB9" s="5">
        <v>78.234626172567403</v>
      </c>
      <c r="AC9" s="5">
        <f t="shared" si="10"/>
        <v>0.77789807256739607</v>
      </c>
      <c r="AD9" s="5">
        <v>135.3408</v>
      </c>
      <c r="AE9" s="5">
        <v>146.52000000000001</v>
      </c>
      <c r="AF9" s="5">
        <f t="shared" si="11"/>
        <v>11.179200000000009</v>
      </c>
      <c r="AG9" s="5">
        <v>32.553600000000003</v>
      </c>
      <c r="AH9" s="5">
        <v>36.025599999999997</v>
      </c>
      <c r="AI9" s="5">
        <f t="shared" si="12"/>
        <v>3.4719999999999942</v>
      </c>
      <c r="AJ9" s="5">
        <v>4.2976000000000001</v>
      </c>
      <c r="AK9" s="5">
        <v>4.9424000000000001</v>
      </c>
      <c r="AL9" s="5">
        <f t="shared" si="13"/>
        <v>0.64480000000000004</v>
      </c>
      <c r="AM9" s="5">
        <v>28.377600000000001</v>
      </c>
      <c r="AN9" s="5">
        <v>31.636800000000001</v>
      </c>
      <c r="AO9" s="5">
        <f t="shared" si="14"/>
        <v>3.2591999999999999</v>
      </c>
      <c r="AP9" s="5">
        <v>146.55172413793102</v>
      </c>
      <c r="AQ9" s="5">
        <v>251.36116152450089</v>
      </c>
      <c r="AR9" s="5">
        <f t="shared" si="15"/>
        <v>104.80943738656987</v>
      </c>
      <c r="AS9" s="5">
        <v>78.039927404718682</v>
      </c>
      <c r="AT9" s="5">
        <v>97.549909255898356</v>
      </c>
      <c r="AU9" s="5">
        <f t="shared" si="16"/>
        <v>19.509981851179674</v>
      </c>
      <c r="AV9" s="5">
        <v>106.62431941923774</v>
      </c>
      <c r="AW9" s="5">
        <v>136.11615245009074</v>
      </c>
      <c r="AX9" s="5">
        <f t="shared" si="17"/>
        <v>29.491833030853002</v>
      </c>
      <c r="AY9" s="5">
        <v>229441.44</v>
      </c>
      <c r="AZ9" s="5">
        <v>2032.1075000000001</v>
      </c>
      <c r="BA9" s="5">
        <v>1392.1424999999999</v>
      </c>
      <c r="BB9" s="5">
        <v>97.587500000000006</v>
      </c>
      <c r="BC9" s="5">
        <v>61.62</v>
      </c>
      <c r="BD9" s="5">
        <v>156.655</v>
      </c>
      <c r="BE9" s="5">
        <v>152.72999999999999</v>
      </c>
      <c r="BF9" s="5">
        <v>1044.1175000000001</v>
      </c>
      <c r="BG9" s="5">
        <v>61.602499999999999</v>
      </c>
      <c r="BH9" s="5">
        <v>10.56</v>
      </c>
      <c r="BI9" s="5">
        <v>11.935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</row>
    <row r="10" spans="1:88" x14ac:dyDescent="0.25">
      <c r="A10" s="3" t="s">
        <v>9</v>
      </c>
      <c r="B10" s="1" t="s">
        <v>4</v>
      </c>
      <c r="C10" s="1">
        <v>2</v>
      </c>
      <c r="D10" s="4">
        <v>18.892852420000001</v>
      </c>
      <c r="E10" s="4">
        <f t="shared" si="1"/>
        <v>33.770491803278688</v>
      </c>
      <c r="F10" s="4">
        <f t="shared" si="2"/>
        <v>29.600886917960086</v>
      </c>
      <c r="G10" s="4">
        <f t="shared" si="3"/>
        <v>-4.1696048853186021</v>
      </c>
      <c r="H10" s="4">
        <v>91.5</v>
      </c>
      <c r="I10" s="4">
        <v>90.2</v>
      </c>
      <c r="J10" s="4">
        <f t="shared" si="4"/>
        <v>-1.2999999999999972</v>
      </c>
      <c r="K10" s="5">
        <v>22</v>
      </c>
      <c r="L10" s="4">
        <v>57.2</v>
      </c>
      <c r="M10" s="4">
        <v>58.7</v>
      </c>
      <c r="N10" s="4">
        <f t="shared" si="5"/>
        <v>1.5</v>
      </c>
      <c r="O10" s="4">
        <v>30.9</v>
      </c>
      <c r="P10" s="4">
        <v>26.7</v>
      </c>
      <c r="Q10" s="4">
        <f t="shared" si="6"/>
        <v>-4.1999999999999993</v>
      </c>
      <c r="R10" s="4">
        <v>7.3502722323048992</v>
      </c>
      <c r="S10" s="4">
        <v>7.3049001814882031</v>
      </c>
      <c r="T10" s="4">
        <f t="shared" si="7"/>
        <v>-4.5372050816696152E-2</v>
      </c>
      <c r="U10" s="4">
        <v>2.46</v>
      </c>
      <c r="V10" s="4">
        <v>2.34</v>
      </c>
      <c r="W10" s="4">
        <f t="shared" si="8"/>
        <v>-0.12000000000000011</v>
      </c>
      <c r="X10" s="4">
        <v>142.8912</v>
      </c>
      <c r="Y10" s="4">
        <v>143.14879999999999</v>
      </c>
      <c r="Z10" s="4">
        <f t="shared" si="9"/>
        <v>0.2575999999999965</v>
      </c>
      <c r="AA10" s="5">
        <v>76.561888769999996</v>
      </c>
      <c r="AB10" s="5">
        <v>78.770321366300394</v>
      </c>
      <c r="AC10" s="5">
        <f t="shared" si="10"/>
        <v>2.2084325963003977</v>
      </c>
      <c r="AD10" s="5">
        <v>130.93119999999999</v>
      </c>
      <c r="AE10" s="5">
        <v>132.7312</v>
      </c>
      <c r="AF10" s="5">
        <f t="shared" si="11"/>
        <v>1.8000000000000114</v>
      </c>
      <c r="AG10" s="5">
        <v>93.6</v>
      </c>
      <c r="AH10" s="5">
        <v>84.792000000000002</v>
      </c>
      <c r="AI10" s="5">
        <f t="shared" si="12"/>
        <v>-8.8079999999999927</v>
      </c>
      <c r="AJ10" s="5">
        <v>11.96</v>
      </c>
      <c r="AK10" s="5">
        <v>10.4176</v>
      </c>
      <c r="AL10" s="5">
        <f t="shared" si="13"/>
        <v>-1.5424000000000007</v>
      </c>
      <c r="AM10" s="5">
        <v>88.567999999999998</v>
      </c>
      <c r="AN10" s="5">
        <v>79.915199999999999</v>
      </c>
      <c r="AO10" s="5">
        <f t="shared" si="14"/>
        <v>-8.6527999999999992</v>
      </c>
      <c r="AP10" s="5">
        <v>166.06170598911069</v>
      </c>
      <c r="AQ10" s="5">
        <v>322.59528130671504</v>
      </c>
      <c r="AR10" s="5">
        <f t="shared" si="15"/>
        <v>156.53357531760435</v>
      </c>
      <c r="AS10" s="5">
        <v>46.279491833030846</v>
      </c>
      <c r="AT10" s="5">
        <v>59.891107078039923</v>
      </c>
      <c r="AU10" s="5">
        <f t="shared" si="16"/>
        <v>13.611615245009077</v>
      </c>
      <c r="AV10" s="5">
        <v>90.290381125226858</v>
      </c>
      <c r="AW10" s="5">
        <v>136.56987295825769</v>
      </c>
      <c r="AX10" s="5">
        <f t="shared" si="17"/>
        <v>46.279491833030832</v>
      </c>
      <c r="AY10" s="5">
        <v>228858.89</v>
      </c>
      <c r="AZ10" s="5">
        <v>955.14750000000004</v>
      </c>
      <c r="BA10" s="5">
        <v>1277.1275000000001</v>
      </c>
      <c r="BB10" s="5">
        <v>119.56</v>
      </c>
      <c r="BC10" s="5">
        <v>120.905</v>
      </c>
      <c r="BD10" s="5">
        <v>271.24</v>
      </c>
      <c r="BE10" s="5">
        <v>100.39</v>
      </c>
      <c r="BF10" s="5">
        <v>106.1275</v>
      </c>
      <c r="BG10" s="5">
        <v>46.7575</v>
      </c>
      <c r="BH10" s="5">
        <v>9.8375000000000004</v>
      </c>
      <c r="BI10" s="5">
        <v>3.9824999999999999</v>
      </c>
      <c r="BJ10" s="5">
        <v>7458.4939538461513</v>
      </c>
      <c r="BK10" s="5">
        <v>7894.4747233207527</v>
      </c>
      <c r="BL10" s="5">
        <f t="shared" si="18"/>
        <v>435.9807694746014</v>
      </c>
      <c r="BM10" s="5">
        <v>52</v>
      </c>
      <c r="BN10" s="5">
        <v>53</v>
      </c>
      <c r="BO10" s="5">
        <v>4608.0336969142854</v>
      </c>
      <c r="BP10" s="5">
        <v>5670.54759742857</v>
      </c>
      <c r="BQ10" s="5">
        <f t="shared" si="19"/>
        <v>1062.5139005142846</v>
      </c>
      <c r="BR10" s="5">
        <v>70</v>
      </c>
      <c r="BS10" s="5">
        <v>56</v>
      </c>
      <c r="BT10" s="5">
        <f t="shared" ref="BT10:BT32" si="21">((BJ10*BM10)+(BO10*BR10))/(BM10+BR10)</f>
        <v>5822.9839703606549</v>
      </c>
      <c r="BU10" s="5">
        <f t="shared" ref="BU10:BU32" si="22">((BK10*BN10)+(BP10*BS10))/(BN10+BS10)</f>
        <v>6751.9066586422005</v>
      </c>
      <c r="BV10" s="5">
        <f t="shared" si="20"/>
        <v>928.92268828154556</v>
      </c>
      <c r="BW10" s="5">
        <v>79.796493626590717</v>
      </c>
      <c r="BX10" s="5">
        <v>84.589386733300273</v>
      </c>
      <c r="BY10" s="5">
        <v>0.73076923076923073</v>
      </c>
      <c r="BZ10" s="5">
        <v>0.62264150943396224</v>
      </c>
      <c r="CA10" s="5">
        <v>10206.360147368418</v>
      </c>
      <c r="CB10" s="5">
        <v>12679.004858666663</v>
      </c>
      <c r="CC10" s="5">
        <v>62.581403924085912</v>
      </c>
      <c r="CD10" s="5">
        <v>70.099560943445681</v>
      </c>
      <c r="CE10" s="5">
        <v>0.67142857142857137</v>
      </c>
      <c r="CF10" s="5">
        <v>0.48214285714285715</v>
      </c>
      <c r="CG10" s="5">
        <v>6863.0289102978722</v>
      </c>
      <c r="CH10" s="5">
        <v>11761.135757629627</v>
      </c>
    </row>
    <row r="11" spans="1:88" x14ac:dyDescent="0.25">
      <c r="A11" s="3" t="s">
        <v>32</v>
      </c>
      <c r="B11" s="1" t="s">
        <v>4</v>
      </c>
      <c r="C11" s="1">
        <v>2</v>
      </c>
      <c r="D11" s="4">
        <v>17.274215640000001</v>
      </c>
      <c r="E11" s="4">
        <f t="shared" si="1"/>
        <v>21.531791907514449</v>
      </c>
      <c r="F11" s="4">
        <f t="shared" si="2"/>
        <v>21.117166212534059</v>
      </c>
      <c r="G11" s="4">
        <f t="shared" si="3"/>
        <v>-0.41462569498039059</v>
      </c>
      <c r="H11" s="4">
        <v>69.2</v>
      </c>
      <c r="I11" s="4">
        <v>73.400000000000006</v>
      </c>
      <c r="J11" s="4">
        <f t="shared" si="4"/>
        <v>4.2000000000000028</v>
      </c>
      <c r="K11" s="5">
        <v>22</v>
      </c>
      <c r="L11" s="4">
        <v>51.7</v>
      </c>
      <c r="M11" s="4">
        <v>55.6</v>
      </c>
      <c r="N11" s="4">
        <f t="shared" si="5"/>
        <v>3.8999999999999986</v>
      </c>
      <c r="O11" s="4">
        <v>14.9</v>
      </c>
      <c r="P11" s="4">
        <v>15.5</v>
      </c>
      <c r="Q11" s="4">
        <f t="shared" si="6"/>
        <v>0.59999999999999964</v>
      </c>
      <c r="R11" s="4">
        <v>5.9891107078039916</v>
      </c>
      <c r="S11" s="4">
        <v>6.5335753176043552</v>
      </c>
      <c r="T11" s="4">
        <f t="shared" si="7"/>
        <v>0.5444646098003636</v>
      </c>
      <c r="U11" s="4">
        <v>1.73</v>
      </c>
      <c r="V11" s="4">
        <v>2.1800000000000002</v>
      </c>
      <c r="W11" s="4">
        <f t="shared" si="8"/>
        <v>0.45000000000000018</v>
      </c>
      <c r="X11" s="4">
        <v>132.864</v>
      </c>
      <c r="Y11" s="4">
        <v>148.59039999999999</v>
      </c>
      <c r="Z11" s="4">
        <f t="shared" si="9"/>
        <v>15.726399999999984</v>
      </c>
      <c r="AA11" s="5">
        <v>78.495283430000001</v>
      </c>
      <c r="AB11" s="5">
        <v>79.784328936458095</v>
      </c>
      <c r="AC11" s="5">
        <f t="shared" si="10"/>
        <v>1.2890455064580948</v>
      </c>
      <c r="AD11" s="5">
        <v>127.81440000000001</v>
      </c>
      <c r="AE11" s="5">
        <v>142.84960000000001</v>
      </c>
      <c r="AF11" s="5">
        <f t="shared" si="11"/>
        <v>15.035200000000003</v>
      </c>
      <c r="AG11" s="5">
        <v>57.1248</v>
      </c>
      <c r="AH11" s="5">
        <v>58.671999999999997</v>
      </c>
      <c r="AI11" s="5">
        <f t="shared" si="12"/>
        <v>1.5471999999999966</v>
      </c>
      <c r="AJ11" s="5">
        <v>5.0495999999999999</v>
      </c>
      <c r="AK11" s="5">
        <v>5.7408000000000001</v>
      </c>
      <c r="AL11" s="5">
        <f t="shared" si="13"/>
        <v>0.69120000000000026</v>
      </c>
      <c r="AM11" s="5">
        <v>52.849600000000002</v>
      </c>
      <c r="AN11" s="5">
        <v>54.214399999999998</v>
      </c>
      <c r="AO11" s="5">
        <f t="shared" si="14"/>
        <v>1.3647999999999954</v>
      </c>
      <c r="AP11" s="5">
        <v>138.38475499092559</v>
      </c>
      <c r="AQ11" s="5">
        <v>244.10163339382939</v>
      </c>
      <c r="AR11" s="5">
        <f t="shared" si="15"/>
        <v>105.7168784029038</v>
      </c>
      <c r="AS11" s="5">
        <v>58.983666061705982</v>
      </c>
      <c r="AT11" s="5">
        <v>75.771324863883848</v>
      </c>
      <c r="AU11" s="5">
        <f t="shared" si="16"/>
        <v>16.787658802177866</v>
      </c>
      <c r="AV11" s="5">
        <v>88.475499092558977</v>
      </c>
      <c r="AW11" s="5">
        <v>117.05989110707803</v>
      </c>
      <c r="AX11" s="5">
        <f t="shared" si="17"/>
        <v>28.584392014519054</v>
      </c>
      <c r="AY11" s="5">
        <v>177613.42</v>
      </c>
      <c r="AZ11" s="5">
        <v>2099</v>
      </c>
      <c r="BA11" s="5">
        <v>2423.7874999999999</v>
      </c>
      <c r="BB11" s="5">
        <v>145.30000000000001</v>
      </c>
      <c r="BC11" s="5">
        <v>90.002499999999998</v>
      </c>
      <c r="BD11" s="5">
        <v>180.89250000000001</v>
      </c>
      <c r="BE11" s="5">
        <v>268.81</v>
      </c>
      <c r="BF11" s="5">
        <v>817.48249999999996</v>
      </c>
      <c r="BG11" s="5">
        <v>104.80249999999999</v>
      </c>
      <c r="BH11" s="5">
        <v>15.25</v>
      </c>
      <c r="BI11" s="5">
        <v>23.07</v>
      </c>
      <c r="BJ11" s="5">
        <v>3511.4776925714295</v>
      </c>
      <c r="BK11" s="5">
        <v>3737.5306913684226</v>
      </c>
      <c r="BL11" s="5">
        <f t="shared" si="18"/>
        <v>226.05299879699305</v>
      </c>
      <c r="BM11" s="5">
        <v>154</v>
      </c>
      <c r="BN11" s="5">
        <v>133</v>
      </c>
      <c r="BO11" s="5">
        <v>4022.9223840000013</v>
      </c>
      <c r="BP11" s="5">
        <v>3933.3242224905644</v>
      </c>
      <c r="BQ11" s="5">
        <f t="shared" si="19"/>
        <v>-89.598161509436977</v>
      </c>
      <c r="BR11" s="5">
        <v>48</v>
      </c>
      <c r="BS11" s="5">
        <v>53</v>
      </c>
      <c r="BT11" s="5">
        <f t="shared" si="21"/>
        <v>3633.0091043960401</v>
      </c>
      <c r="BU11" s="5">
        <f t="shared" si="22"/>
        <v>3793.3213212043015</v>
      </c>
      <c r="BV11" s="5">
        <f t="shared" si="20"/>
        <v>160.31221680826138</v>
      </c>
      <c r="BW11" s="5">
        <v>56.919078572868145</v>
      </c>
      <c r="BX11" s="5">
        <v>57.75887720140399</v>
      </c>
      <c r="BY11" s="5">
        <v>0.25974025974025972</v>
      </c>
      <c r="BZ11" s="5">
        <v>0.21804511278195488</v>
      </c>
      <c r="CA11" s="5">
        <v>13519.189116400004</v>
      </c>
      <c r="CB11" s="5">
        <v>17141.089032827593</v>
      </c>
      <c r="CC11" s="5">
        <v>63.501400418551107</v>
      </c>
      <c r="CD11" s="5">
        <v>59.133618229022559</v>
      </c>
      <c r="CE11" s="5">
        <v>3.1011488511488512</v>
      </c>
      <c r="CF11" s="5">
        <v>0.45283018867924529</v>
      </c>
      <c r="CG11" s="5">
        <v>1297.2361460526702</v>
      </c>
      <c r="CH11" s="5">
        <v>8686.0909913333289</v>
      </c>
    </row>
    <row r="12" spans="1:88" x14ac:dyDescent="0.25">
      <c r="A12" s="3" t="s">
        <v>10</v>
      </c>
      <c r="B12" s="1" t="s">
        <v>4</v>
      </c>
      <c r="C12" s="1">
        <v>2</v>
      </c>
      <c r="D12" s="4">
        <v>20.862264870000001</v>
      </c>
      <c r="E12" s="4">
        <f t="shared" si="1"/>
        <v>11.969111969111971</v>
      </c>
      <c r="F12" s="4">
        <f t="shared" si="2"/>
        <v>10.855683269476375</v>
      </c>
      <c r="G12" s="4">
        <f t="shared" si="3"/>
        <v>-1.1134286996355964</v>
      </c>
      <c r="H12" s="4">
        <v>77.7</v>
      </c>
      <c r="I12" s="4">
        <v>78.3</v>
      </c>
      <c r="J12" s="4">
        <f t="shared" si="4"/>
        <v>0.59999999999999432</v>
      </c>
      <c r="K12" s="5">
        <v>24</v>
      </c>
      <c r="L12" s="4">
        <v>66.099999999999994</v>
      </c>
      <c r="M12" s="4">
        <v>70</v>
      </c>
      <c r="N12" s="4">
        <f t="shared" si="5"/>
        <v>3.9000000000000057</v>
      </c>
      <c r="O12" s="4">
        <v>9.3000000000000007</v>
      </c>
      <c r="P12" s="4">
        <v>8.5</v>
      </c>
      <c r="Q12" s="4">
        <f t="shared" si="6"/>
        <v>-0.80000000000000071</v>
      </c>
      <c r="R12" s="4">
        <v>8.4845735027223217</v>
      </c>
      <c r="S12" s="4">
        <v>8.4845735027223217</v>
      </c>
      <c r="T12" s="4">
        <f t="shared" si="7"/>
        <v>0</v>
      </c>
      <c r="U12" s="4">
        <v>2.5099999999999998</v>
      </c>
      <c r="V12" s="4">
        <v>2.94</v>
      </c>
      <c r="W12" s="4">
        <f t="shared" si="8"/>
        <v>0.43000000000000016</v>
      </c>
      <c r="X12" s="4">
        <v>178.63040000000001</v>
      </c>
      <c r="Y12" s="4">
        <v>184.70079999999999</v>
      </c>
      <c r="Z12" s="4">
        <f t="shared" si="9"/>
        <v>6.070399999999978</v>
      </c>
      <c r="AA12" s="5">
        <v>77.623244420000006</v>
      </c>
      <c r="AB12" s="5">
        <v>78.263631178640495</v>
      </c>
      <c r="AC12" s="5">
        <f t="shared" si="10"/>
        <v>0.64038675864048855</v>
      </c>
      <c r="AD12" s="5">
        <v>166.2448</v>
      </c>
      <c r="AE12" s="5">
        <v>174.38720000000001</v>
      </c>
      <c r="AF12" s="5">
        <f t="shared" si="11"/>
        <v>8.1424000000000092</v>
      </c>
      <c r="AG12" s="5">
        <v>32.936</v>
      </c>
      <c r="AH12" s="5">
        <v>29.4528</v>
      </c>
      <c r="AI12" s="5">
        <f t="shared" si="12"/>
        <v>-3.4832000000000001</v>
      </c>
      <c r="AJ12" s="5">
        <v>12.3856</v>
      </c>
      <c r="AK12" s="5">
        <v>10.313599999999999</v>
      </c>
      <c r="AL12" s="5">
        <f t="shared" si="13"/>
        <v>-2.072000000000001</v>
      </c>
      <c r="AM12" s="5">
        <v>27.9664</v>
      </c>
      <c r="AN12" s="5">
        <v>24.305599999999998</v>
      </c>
      <c r="AO12" s="5">
        <f t="shared" si="14"/>
        <v>-3.6608000000000018</v>
      </c>
      <c r="AP12" s="5">
        <v>283.12159709618874</v>
      </c>
      <c r="AQ12" s="5">
        <v>365.24500907441012</v>
      </c>
      <c r="AR12" s="5">
        <f t="shared" si="15"/>
        <v>82.123411978221384</v>
      </c>
      <c r="AS12" s="5">
        <v>90.744101633393825</v>
      </c>
      <c r="AT12" s="5">
        <v>112.06896551724137</v>
      </c>
      <c r="AU12" s="5">
        <f t="shared" si="16"/>
        <v>21.324863883847542</v>
      </c>
      <c r="AV12" s="5">
        <v>141.56079854809437</v>
      </c>
      <c r="AW12" s="5">
        <v>180.12704174228674</v>
      </c>
      <c r="AX12" s="5">
        <f t="shared" si="17"/>
        <v>38.566243194192367</v>
      </c>
      <c r="AY12" s="5">
        <v>330880.21999999997</v>
      </c>
      <c r="AZ12" s="5">
        <v>2667.4675000000002</v>
      </c>
      <c r="BA12" s="5">
        <v>3172.9875000000002</v>
      </c>
      <c r="BB12" s="5">
        <v>146.97749999999999</v>
      </c>
      <c r="BC12" s="5">
        <v>216.155</v>
      </c>
      <c r="BD12" s="5">
        <v>352.42</v>
      </c>
      <c r="BE12" s="5">
        <v>386.52249999999998</v>
      </c>
      <c r="BF12" s="5">
        <v>791.37249999999995</v>
      </c>
      <c r="BG12" s="5">
        <v>91.527500000000003</v>
      </c>
      <c r="BH12" s="5">
        <v>43.352499999999999</v>
      </c>
      <c r="BI12" s="5">
        <v>20.105</v>
      </c>
      <c r="BJ12" s="5">
        <v>7421.6612995918349</v>
      </c>
      <c r="BK12" s="5">
        <v>6076.3730821052623</v>
      </c>
      <c r="BL12" s="5">
        <f t="shared" si="18"/>
        <v>-1345.2882174865726</v>
      </c>
      <c r="BM12" s="5">
        <v>49</v>
      </c>
      <c r="BN12" s="5">
        <v>57</v>
      </c>
      <c r="BO12" s="5">
        <v>6120.8621328372083</v>
      </c>
      <c r="BP12" s="5">
        <v>4616.4197199157888</v>
      </c>
      <c r="BQ12" s="5">
        <f t="shared" si="19"/>
        <v>-1504.4424129214194</v>
      </c>
      <c r="BR12" s="5">
        <v>43</v>
      </c>
      <c r="BS12" s="5">
        <v>95</v>
      </c>
      <c r="BT12" s="5">
        <f t="shared" si="21"/>
        <v>6813.6790803478243</v>
      </c>
      <c r="BU12" s="5">
        <f t="shared" si="22"/>
        <v>5163.9022307368405</v>
      </c>
      <c r="BV12" s="5">
        <f t="shared" si="20"/>
        <v>-1649.7768496109838</v>
      </c>
      <c r="BW12" s="5">
        <v>71.498179569432665</v>
      </c>
      <c r="BX12" s="5">
        <v>75.514962591442028</v>
      </c>
      <c r="BY12" s="5">
        <v>1.0816326530612246</v>
      </c>
      <c r="BZ12" s="5">
        <v>0.50877192982456143</v>
      </c>
      <c r="CA12" s="5">
        <v>6861.5359184905637</v>
      </c>
      <c r="CB12" s="5">
        <v>11943.216057931031</v>
      </c>
      <c r="CC12" s="5">
        <v>66.17096000727679</v>
      </c>
      <c r="CD12" s="5">
        <v>65.647344456648867</v>
      </c>
      <c r="CE12" s="5">
        <v>0.65116279069767447</v>
      </c>
      <c r="CF12" s="5">
        <v>0.52631578947368418</v>
      </c>
      <c r="CG12" s="5">
        <v>9399.8954182857124</v>
      </c>
      <c r="CH12" s="5">
        <v>8771.1974678400002</v>
      </c>
    </row>
    <row r="13" spans="1:88" x14ac:dyDescent="0.25">
      <c r="A13" s="3" t="s">
        <v>33</v>
      </c>
      <c r="B13" s="1" t="s">
        <v>4</v>
      </c>
      <c r="C13" s="1">
        <v>2</v>
      </c>
      <c r="D13" s="4">
        <v>16.09483711</v>
      </c>
      <c r="E13" s="4">
        <f t="shared" si="1"/>
        <v>23.886639676113361</v>
      </c>
      <c r="F13" s="4">
        <f t="shared" si="2"/>
        <v>22.913907284768211</v>
      </c>
      <c r="G13" s="4">
        <f t="shared" si="3"/>
        <v>-0.97273239134515066</v>
      </c>
      <c r="H13" s="4">
        <v>74.099999999999994</v>
      </c>
      <c r="I13" s="4">
        <v>75.5</v>
      </c>
      <c r="J13" s="4">
        <f t="shared" si="4"/>
        <v>1.4000000000000057</v>
      </c>
      <c r="K13" s="5">
        <v>22</v>
      </c>
      <c r="L13" s="4">
        <v>53.9</v>
      </c>
      <c r="M13" s="4">
        <v>55.6</v>
      </c>
      <c r="N13" s="4">
        <f t="shared" si="5"/>
        <v>1.7000000000000028</v>
      </c>
      <c r="O13" s="4">
        <v>17.7</v>
      </c>
      <c r="P13" s="4">
        <v>17.3</v>
      </c>
      <c r="Q13" s="4">
        <f t="shared" si="6"/>
        <v>-0.39999999999999858</v>
      </c>
      <c r="R13" s="4">
        <v>7.214156079854809</v>
      </c>
      <c r="S13" s="4">
        <v>7.5317604355716883</v>
      </c>
      <c r="T13" s="4">
        <f t="shared" si="7"/>
        <v>0.31760435571687928</v>
      </c>
      <c r="U13" s="4">
        <v>1.82</v>
      </c>
      <c r="V13" s="4">
        <v>2.62</v>
      </c>
      <c r="W13" s="4">
        <f t="shared" si="8"/>
        <v>0.8</v>
      </c>
      <c r="X13" s="4">
        <v>144.66720000000001</v>
      </c>
      <c r="Y13" s="4">
        <v>156.66399999999999</v>
      </c>
      <c r="Z13" s="4">
        <f t="shared" si="9"/>
        <v>11.996799999999979</v>
      </c>
      <c r="AA13" s="5">
        <v>78.222543990000005</v>
      </c>
      <c r="AB13" s="5">
        <v>80.189234581013494</v>
      </c>
      <c r="AC13" s="5">
        <f t="shared" si="10"/>
        <v>1.9666905910134886</v>
      </c>
      <c r="AD13" s="5">
        <v>137.32</v>
      </c>
      <c r="AE13" s="5">
        <v>150.6688</v>
      </c>
      <c r="AF13" s="5">
        <f t="shared" si="11"/>
        <v>13.348800000000011</v>
      </c>
      <c r="AG13" s="5">
        <v>46.351999999999997</v>
      </c>
      <c r="AH13" s="5">
        <v>49.351999999999997</v>
      </c>
      <c r="AI13" s="5">
        <f t="shared" si="12"/>
        <v>3</v>
      </c>
      <c r="AJ13" s="5">
        <v>7.3472</v>
      </c>
      <c r="AK13" s="5">
        <v>5.9951999999999996</v>
      </c>
      <c r="AL13" s="5">
        <f t="shared" si="13"/>
        <v>-1.3520000000000003</v>
      </c>
      <c r="AM13" s="5">
        <v>42.167999999999999</v>
      </c>
      <c r="AN13" s="5">
        <v>44.891199999999998</v>
      </c>
      <c r="AO13" s="5">
        <f t="shared" si="14"/>
        <v>2.7231999999999985</v>
      </c>
      <c r="AP13" s="5">
        <v>146.55172413793102</v>
      </c>
      <c r="AQ13" s="5">
        <v>275.86206896551721</v>
      </c>
      <c r="AR13" s="5">
        <f t="shared" si="15"/>
        <v>129.31034482758619</v>
      </c>
      <c r="AS13" s="5">
        <v>71.687840290381118</v>
      </c>
      <c r="AT13" s="5">
        <v>83.93829401088928</v>
      </c>
      <c r="AU13" s="5">
        <f t="shared" si="16"/>
        <v>12.250453720508162</v>
      </c>
      <c r="AV13" s="5">
        <v>99.818511796733205</v>
      </c>
      <c r="AW13" s="5">
        <v>127.04174228675134</v>
      </c>
      <c r="AX13" s="5">
        <f t="shared" si="17"/>
        <v>27.223230490018139</v>
      </c>
      <c r="AY13" s="5">
        <v>231479.16</v>
      </c>
      <c r="AZ13" s="5">
        <v>2916.8049999999998</v>
      </c>
      <c r="BA13" s="5">
        <v>2183.33</v>
      </c>
      <c r="BB13" s="5">
        <v>124.8325</v>
      </c>
      <c r="BC13" s="5">
        <v>114.295</v>
      </c>
      <c r="BD13" s="5">
        <v>327.005</v>
      </c>
      <c r="BE13" s="5">
        <v>235.3775</v>
      </c>
      <c r="BF13" s="5">
        <v>1227.5025000000001</v>
      </c>
      <c r="BG13" s="5">
        <v>85.837500000000006</v>
      </c>
      <c r="BH13" s="5">
        <v>18.7925</v>
      </c>
      <c r="BI13" s="5">
        <v>13.375</v>
      </c>
      <c r="BJ13" s="5">
        <v>5586.4443180799981</v>
      </c>
      <c r="BK13" s="5">
        <v>6884.1318383999997</v>
      </c>
      <c r="BL13" s="5">
        <f t="shared" si="18"/>
        <v>1297.6875203200016</v>
      </c>
      <c r="BM13" s="5">
        <v>75</v>
      </c>
      <c r="BN13" s="5">
        <v>70</v>
      </c>
      <c r="BO13" s="5">
        <v>5040.4170225454545</v>
      </c>
      <c r="BP13" s="5">
        <v>5464.6645217391297</v>
      </c>
      <c r="BQ13" s="5">
        <f t="shared" si="19"/>
        <v>424.24749919367514</v>
      </c>
      <c r="BR13" s="5">
        <v>66</v>
      </c>
      <c r="BS13" s="5">
        <v>46</v>
      </c>
      <c r="BT13" s="5">
        <f t="shared" si="21"/>
        <v>5330.8570733617016</v>
      </c>
      <c r="BU13" s="5">
        <f t="shared" si="22"/>
        <v>6321.2396266206897</v>
      </c>
      <c r="BV13" s="5">
        <f t="shared" si="20"/>
        <v>990.38255325898808</v>
      </c>
      <c r="BW13" s="5">
        <v>72.427674509166366</v>
      </c>
      <c r="BX13" s="5">
        <v>79.180144742909832</v>
      </c>
      <c r="BY13" s="5">
        <v>1.2533333333333334</v>
      </c>
      <c r="BZ13" s="5">
        <v>0.48571428571428571</v>
      </c>
      <c r="CA13" s="5">
        <v>4457.2694027234029</v>
      </c>
      <c r="CB13" s="5">
        <v>14173.212608470587</v>
      </c>
      <c r="CC13" s="5">
        <v>70.98363898443472</v>
      </c>
      <c r="CD13" s="5">
        <v>71.560676614408862</v>
      </c>
      <c r="CE13" s="5">
        <v>0.93939393939393945</v>
      </c>
      <c r="CF13" s="5">
        <v>0.36956521739130432</v>
      </c>
      <c r="CG13" s="5">
        <v>5365.6052175483865</v>
      </c>
      <c r="CH13" s="5">
        <v>14786.739294117646</v>
      </c>
    </row>
    <row r="14" spans="1:88" x14ac:dyDescent="0.25">
      <c r="A14" s="3" t="s">
        <v>11</v>
      </c>
      <c r="B14" s="1" t="s">
        <v>2</v>
      </c>
      <c r="C14" s="1">
        <v>1</v>
      </c>
      <c r="D14" s="4">
        <v>16.914285710000001</v>
      </c>
      <c r="E14" s="4">
        <f t="shared" si="1"/>
        <v>12.459546925566343</v>
      </c>
      <c r="F14" s="4">
        <f t="shared" si="2"/>
        <v>11.414790996784564</v>
      </c>
      <c r="G14" s="4">
        <f t="shared" si="3"/>
        <v>-1.0447559287817789</v>
      </c>
      <c r="H14" s="4">
        <v>61.8</v>
      </c>
      <c r="I14" s="4">
        <v>62.2</v>
      </c>
      <c r="J14" s="4">
        <f t="shared" si="4"/>
        <v>0.40000000000000568</v>
      </c>
      <c r="K14" s="5">
        <v>18</v>
      </c>
      <c r="L14" s="4">
        <v>51.8</v>
      </c>
      <c r="M14" s="4">
        <v>52.8</v>
      </c>
      <c r="N14" s="4">
        <f t="shared" si="5"/>
        <v>1</v>
      </c>
      <c r="O14" s="4">
        <v>7.7</v>
      </c>
      <c r="P14" s="4">
        <v>7.1</v>
      </c>
      <c r="Q14" s="4">
        <f t="shared" si="6"/>
        <v>-0.60000000000000053</v>
      </c>
      <c r="R14" s="4">
        <v>6.01633393829401</v>
      </c>
      <c r="S14" s="4">
        <v>6.2250453720508165</v>
      </c>
      <c r="T14" s="4">
        <f t="shared" si="7"/>
        <v>0.20871143375680656</v>
      </c>
      <c r="U14" s="4">
        <v>2.1</v>
      </c>
      <c r="V14" s="4">
        <v>2.5099999999999998</v>
      </c>
      <c r="W14" s="4">
        <f t="shared" si="8"/>
        <v>0.4099999999999997</v>
      </c>
      <c r="X14" s="4">
        <v>139.66399999999999</v>
      </c>
      <c r="Y14" s="4">
        <v>147.41120000000001</v>
      </c>
      <c r="Z14" s="4">
        <f t="shared" si="9"/>
        <v>7.7472000000000207</v>
      </c>
      <c r="AA14" s="5">
        <v>77.888042339999998</v>
      </c>
      <c r="AB14" s="5">
        <v>78.626275040158006</v>
      </c>
      <c r="AC14" s="5">
        <f t="shared" si="10"/>
        <v>0.73823270015800802</v>
      </c>
      <c r="AD14" s="5">
        <v>136.2064</v>
      </c>
      <c r="AE14" s="5">
        <v>143.35040000000001</v>
      </c>
      <c r="AF14" s="5">
        <f t="shared" si="11"/>
        <v>7.1440000000000055</v>
      </c>
      <c r="AG14" s="5">
        <v>20.628799999999998</v>
      </c>
      <c r="AH14" s="5">
        <v>18.716799999999999</v>
      </c>
      <c r="AI14" s="5">
        <f t="shared" si="12"/>
        <v>-1.911999999999999</v>
      </c>
      <c r="AJ14" s="5">
        <v>3.4575999999999998</v>
      </c>
      <c r="AK14" s="5">
        <v>4.0608000000000004</v>
      </c>
      <c r="AL14" s="5">
        <f t="shared" si="13"/>
        <v>0.60320000000000062</v>
      </c>
      <c r="AM14" s="5">
        <v>16.654399999999999</v>
      </c>
      <c r="AN14" s="5">
        <v>14.683199999999999</v>
      </c>
      <c r="AO14" s="5">
        <f t="shared" si="14"/>
        <v>-1.9711999999999996</v>
      </c>
      <c r="AP14" s="5">
        <v>141.56079854809437</v>
      </c>
      <c r="AQ14" s="5">
        <v>174.6823956442831</v>
      </c>
      <c r="AR14" s="5">
        <f t="shared" si="15"/>
        <v>33.121597096188736</v>
      </c>
      <c r="AS14" s="5">
        <v>56.715063520871141</v>
      </c>
      <c r="AT14" s="5">
        <v>68.511796733212336</v>
      </c>
      <c r="AU14" s="5">
        <f t="shared" si="16"/>
        <v>11.796733212341195</v>
      </c>
      <c r="AV14" s="5">
        <v>114.79128856624318</v>
      </c>
      <c r="AW14" s="5">
        <v>129.31034482758619</v>
      </c>
      <c r="AX14" s="5">
        <f t="shared" si="17"/>
        <v>14.51905626134301</v>
      </c>
      <c r="AY14" s="5">
        <v>172504.55</v>
      </c>
      <c r="AZ14" s="5">
        <v>1582.43</v>
      </c>
      <c r="BA14" s="5">
        <v>1211.3399999999999</v>
      </c>
      <c r="BB14" s="5">
        <v>81.81</v>
      </c>
      <c r="BC14" s="5">
        <v>53.202500000000001</v>
      </c>
      <c r="BD14" s="5">
        <v>144.63499999999999</v>
      </c>
      <c r="BE14" s="5">
        <v>163.88749999999999</v>
      </c>
      <c r="BF14" s="5">
        <v>548.38250000000005</v>
      </c>
      <c r="BG14" s="5">
        <v>32.950000000000003</v>
      </c>
      <c r="BH14" s="5">
        <v>10.3475</v>
      </c>
      <c r="BI14" s="5">
        <v>9.8949999999999996</v>
      </c>
      <c r="BJ14" s="5">
        <v>5157.5567108349533</v>
      </c>
      <c r="BK14" s="5">
        <v>4874.2460243809519</v>
      </c>
      <c r="BL14" s="5">
        <f t="shared" si="18"/>
        <v>-283.31068645400137</v>
      </c>
      <c r="BM14" s="5">
        <v>103</v>
      </c>
      <c r="BN14" s="5">
        <v>84</v>
      </c>
      <c r="BO14" s="5">
        <v>4032.4618919183672</v>
      </c>
      <c r="BP14" s="5">
        <v>4514.334108799997</v>
      </c>
      <c r="BQ14" s="5">
        <f t="shared" si="19"/>
        <v>481.87221688162981</v>
      </c>
      <c r="BR14" s="5">
        <v>49</v>
      </c>
      <c r="BS14" s="5">
        <v>55</v>
      </c>
      <c r="BT14" s="5">
        <f t="shared" si="21"/>
        <v>4794.8616705263166</v>
      </c>
      <c r="BU14" s="5">
        <f t="shared" si="22"/>
        <v>4731.8348347625888</v>
      </c>
      <c r="BV14" s="5">
        <f t="shared" si="20"/>
        <v>-63.026835763727831</v>
      </c>
      <c r="BW14" s="5">
        <v>63.791606831086362</v>
      </c>
      <c r="BX14" s="5">
        <v>64.997787578940546</v>
      </c>
      <c r="BY14" s="5">
        <v>1.0485436893203883</v>
      </c>
      <c r="BZ14" s="5">
        <v>0.69047619047619047</v>
      </c>
      <c r="CA14" s="5">
        <v>4918.7809371851872</v>
      </c>
      <c r="CB14" s="5">
        <v>7059.2528628965511</v>
      </c>
      <c r="CC14" s="5">
        <v>56.221360788151358</v>
      </c>
      <c r="CD14" s="5">
        <v>65.200192171113798</v>
      </c>
      <c r="CE14" s="5">
        <v>0.63265306122448983</v>
      </c>
      <c r="CF14" s="5">
        <v>0.52727272727272723</v>
      </c>
      <c r="CG14" s="5">
        <v>6373.8913775483861</v>
      </c>
      <c r="CH14" s="5">
        <v>8561.6681373793053</v>
      </c>
    </row>
    <row r="15" spans="1:88" x14ac:dyDescent="0.25">
      <c r="A15" s="3" t="s">
        <v>12</v>
      </c>
      <c r="B15" s="1" t="s">
        <v>4</v>
      </c>
      <c r="C15" s="1">
        <v>2</v>
      </c>
      <c r="D15" s="4">
        <v>14.301394630000001</v>
      </c>
      <c r="E15" s="4">
        <f t="shared" si="1"/>
        <v>21.319796954314722</v>
      </c>
      <c r="F15" s="4">
        <f t="shared" si="2"/>
        <v>19.080068143100508</v>
      </c>
      <c r="G15" s="4">
        <f t="shared" si="3"/>
        <v>-2.2397288112142135</v>
      </c>
      <c r="H15" s="4">
        <v>59.1</v>
      </c>
      <c r="I15" s="4">
        <v>58.7</v>
      </c>
      <c r="J15" s="4">
        <f t="shared" si="4"/>
        <v>-0.39999999999999858</v>
      </c>
      <c r="K15" s="5">
        <v>19</v>
      </c>
      <c r="L15" s="4">
        <v>44.3</v>
      </c>
      <c r="M15" s="4">
        <v>44.6</v>
      </c>
      <c r="N15" s="4">
        <f t="shared" si="5"/>
        <v>0.30000000000000426</v>
      </c>
      <c r="O15" s="4">
        <v>12.6</v>
      </c>
      <c r="P15" s="4">
        <v>11.2</v>
      </c>
      <c r="Q15" s="4">
        <f t="shared" si="6"/>
        <v>-1.4000000000000004</v>
      </c>
      <c r="R15" s="4">
        <v>5.766787658802178</v>
      </c>
      <c r="S15" s="4">
        <v>5.9981851179673322</v>
      </c>
      <c r="T15" s="4">
        <f t="shared" si="7"/>
        <v>0.2313974591651542</v>
      </c>
      <c r="U15" s="4">
        <v>1.46</v>
      </c>
      <c r="V15" s="4">
        <v>2.09</v>
      </c>
      <c r="W15" s="4">
        <f t="shared" si="8"/>
        <v>0.62999999999999989</v>
      </c>
      <c r="X15" s="4">
        <v>111.02719999999999</v>
      </c>
      <c r="Y15" s="4">
        <v>118.56959999999999</v>
      </c>
      <c r="Z15" s="4">
        <f t="shared" si="9"/>
        <v>7.5424000000000007</v>
      </c>
      <c r="AA15" s="5">
        <v>77.77318751</v>
      </c>
      <c r="AB15" s="5">
        <v>78.936687933503805</v>
      </c>
      <c r="AC15" s="5">
        <f t="shared" si="10"/>
        <v>1.1635004235038053</v>
      </c>
      <c r="AD15" s="5">
        <v>108.352</v>
      </c>
      <c r="AE15" s="5">
        <v>113.5936</v>
      </c>
      <c r="AF15" s="5">
        <f t="shared" si="11"/>
        <v>5.2415999999999912</v>
      </c>
      <c r="AG15" s="5">
        <v>39.660800000000002</v>
      </c>
      <c r="AH15" s="5">
        <v>36.041600000000003</v>
      </c>
      <c r="AI15" s="5">
        <f t="shared" si="12"/>
        <v>-3.6191999999999993</v>
      </c>
      <c r="AJ15" s="5">
        <v>2.6751999999999998</v>
      </c>
      <c r="AK15" s="5">
        <v>4.976</v>
      </c>
      <c r="AL15" s="5">
        <f t="shared" si="13"/>
        <v>2.3008000000000002</v>
      </c>
      <c r="AM15" s="5">
        <v>36.0944</v>
      </c>
      <c r="AN15" s="5">
        <v>32.412799999999997</v>
      </c>
      <c r="AO15" s="5">
        <f t="shared" si="14"/>
        <v>-3.6816000000000031</v>
      </c>
      <c r="AP15" s="5">
        <v>68.511796733212336</v>
      </c>
      <c r="AQ15" s="5">
        <v>146.55172413793102</v>
      </c>
      <c r="AR15" s="5">
        <f t="shared" si="15"/>
        <v>78.039927404718682</v>
      </c>
      <c r="AS15" s="5">
        <v>51.27041742286751</v>
      </c>
      <c r="AT15" s="5">
        <v>58.529945553539015</v>
      </c>
      <c r="AU15" s="5">
        <f t="shared" si="16"/>
        <v>7.2595281306715052</v>
      </c>
      <c r="AV15" s="5">
        <v>65.78947368421052</v>
      </c>
      <c r="AW15" s="5">
        <v>99.818511796733205</v>
      </c>
      <c r="AX15" s="5">
        <f t="shared" si="17"/>
        <v>34.029038112522684</v>
      </c>
      <c r="AY15" s="5">
        <v>132908.35</v>
      </c>
      <c r="AZ15" s="5">
        <v>2135.7125000000001</v>
      </c>
      <c r="BA15" s="5">
        <v>1868.48</v>
      </c>
      <c r="BB15" s="5">
        <v>98.377499999999998</v>
      </c>
      <c r="BC15" s="5">
        <v>88.614999999999995</v>
      </c>
      <c r="BD15" s="5">
        <v>237.6525</v>
      </c>
      <c r="BE15" s="5">
        <v>252.16749999999999</v>
      </c>
      <c r="BF15" s="5">
        <v>809.51</v>
      </c>
      <c r="BG15" s="5">
        <v>55.62</v>
      </c>
      <c r="BH15" s="5">
        <v>23.96</v>
      </c>
      <c r="BI15" s="5">
        <v>12.6625</v>
      </c>
      <c r="BJ15" s="5">
        <v>6529.0099765925897</v>
      </c>
      <c r="BK15" s="5">
        <v>8108.6593695000029</v>
      </c>
      <c r="BL15" s="5">
        <f t="shared" si="18"/>
        <v>1579.6493929074131</v>
      </c>
      <c r="BM15" s="5">
        <v>54</v>
      </c>
      <c r="BN15" s="5">
        <v>64</v>
      </c>
      <c r="BO15" s="5">
        <v>7058.8835056842072</v>
      </c>
      <c r="BP15" s="5">
        <v>6059.915983599999</v>
      </c>
      <c r="BQ15" s="5">
        <f t="shared" si="19"/>
        <v>-998.96752208420821</v>
      </c>
      <c r="BR15" s="5">
        <v>38</v>
      </c>
      <c r="BS15" s="5">
        <v>40</v>
      </c>
      <c r="BT15" s="5">
        <f t="shared" si="21"/>
        <v>6747.8707820869531</v>
      </c>
      <c r="BU15" s="5">
        <f t="shared" si="22"/>
        <v>7320.6811441538466</v>
      </c>
      <c r="BV15" s="5">
        <f t="shared" si="20"/>
        <v>572.8103620668935</v>
      </c>
      <c r="BW15" s="5">
        <v>76.297532510010129</v>
      </c>
      <c r="BX15" s="5">
        <v>86.173964881696776</v>
      </c>
      <c r="BY15" s="5">
        <v>0.64814814814814814</v>
      </c>
      <c r="BZ15" s="5">
        <v>0.578125</v>
      </c>
      <c r="CA15" s="5">
        <v>10073.329678171423</v>
      </c>
      <c r="CB15" s="5">
        <v>14025.789179675681</v>
      </c>
      <c r="CC15" s="5">
        <v>77.903207129616604</v>
      </c>
      <c r="CD15" s="5">
        <v>71.751824229714785</v>
      </c>
      <c r="CE15" s="5">
        <v>0.73684210526315785</v>
      </c>
      <c r="CF15" s="5">
        <v>0.32500000000000001</v>
      </c>
      <c r="CG15" s="5">
        <v>9579.9133291428534</v>
      </c>
      <c r="CH15" s="5">
        <v>18645.895334153844</v>
      </c>
    </row>
    <row r="16" spans="1:88" x14ac:dyDescent="0.25">
      <c r="A16" s="3" t="s">
        <v>34</v>
      </c>
      <c r="B16" s="1" t="s">
        <v>4</v>
      </c>
      <c r="C16" s="1">
        <v>2</v>
      </c>
      <c r="D16" s="4">
        <v>18.913955210000001</v>
      </c>
      <c r="E16" s="4">
        <f t="shared" si="1"/>
        <v>27.480158730158731</v>
      </c>
      <c r="F16" s="4">
        <f t="shared" si="2"/>
        <v>28.143712574850298</v>
      </c>
      <c r="G16" s="4">
        <f t="shared" si="3"/>
        <v>0.66355384469156675</v>
      </c>
      <c r="H16" s="4">
        <v>100.8</v>
      </c>
      <c r="I16" s="4">
        <v>100.2</v>
      </c>
      <c r="J16" s="4">
        <f t="shared" si="4"/>
        <v>-0.59999999999999432</v>
      </c>
      <c r="K16" s="5">
        <v>29</v>
      </c>
      <c r="L16" s="4">
        <v>69</v>
      </c>
      <c r="M16" s="4">
        <v>68.400000000000006</v>
      </c>
      <c r="N16" s="4">
        <f t="shared" si="5"/>
        <v>-0.59999999999999432</v>
      </c>
      <c r="O16" s="4">
        <v>27.7</v>
      </c>
      <c r="P16" s="4">
        <v>28.2</v>
      </c>
      <c r="Q16" s="4">
        <f t="shared" si="6"/>
        <v>0.5</v>
      </c>
      <c r="R16" s="4">
        <v>9.3466424682395637</v>
      </c>
      <c r="S16" s="4">
        <v>9.5281306715063518</v>
      </c>
      <c r="T16" s="4">
        <f t="shared" si="7"/>
        <v>0.18148820326678816</v>
      </c>
      <c r="U16" s="4">
        <v>1.87</v>
      </c>
      <c r="V16" s="4">
        <v>3.04</v>
      </c>
      <c r="W16" s="4">
        <f t="shared" si="8"/>
        <v>1.17</v>
      </c>
      <c r="X16" s="4">
        <v>184.36799999999999</v>
      </c>
      <c r="Y16" s="4">
        <v>199.8656</v>
      </c>
      <c r="Z16" s="4">
        <f t="shared" si="9"/>
        <v>15.497600000000006</v>
      </c>
      <c r="AA16" s="5">
        <v>76.397022620000001</v>
      </c>
      <c r="AB16" s="5">
        <v>78.256174549293902</v>
      </c>
      <c r="AC16" s="5">
        <f t="shared" si="10"/>
        <v>1.8591519292939012</v>
      </c>
      <c r="AD16" s="5">
        <v>167.51840000000001</v>
      </c>
      <c r="AE16" s="5">
        <v>182.60640000000001</v>
      </c>
      <c r="AF16" s="5">
        <f t="shared" si="11"/>
        <v>15.087999999999994</v>
      </c>
      <c r="AG16" s="5">
        <v>63.768000000000001</v>
      </c>
      <c r="AH16" s="5">
        <v>65.995199999999997</v>
      </c>
      <c r="AI16" s="5">
        <f t="shared" si="12"/>
        <v>2.2271999999999963</v>
      </c>
      <c r="AJ16" s="5">
        <v>16.849599999999999</v>
      </c>
      <c r="AK16" s="5">
        <v>17.2592</v>
      </c>
      <c r="AL16" s="5">
        <f t="shared" si="13"/>
        <v>0.40960000000000107</v>
      </c>
      <c r="AM16" s="5">
        <v>58.212800000000001</v>
      </c>
      <c r="AN16" s="5">
        <v>60.081600000000002</v>
      </c>
      <c r="AO16" s="5">
        <f t="shared" si="14"/>
        <v>1.8688000000000002</v>
      </c>
      <c r="AP16" s="5">
        <v>205.53539019963699</v>
      </c>
      <c r="AQ16" s="5">
        <v>299.90925589836661</v>
      </c>
      <c r="AR16" s="5">
        <f t="shared" si="15"/>
        <v>94.373865698729617</v>
      </c>
      <c r="AS16" s="5">
        <v>109.80036297640652</v>
      </c>
      <c r="AT16" s="5">
        <v>124.31941923774954</v>
      </c>
      <c r="AU16" s="5">
        <f t="shared" si="16"/>
        <v>14.519056261343025</v>
      </c>
      <c r="AV16" s="5">
        <v>153.81125226860252</v>
      </c>
      <c r="AW16" s="5">
        <v>187.84029038112521</v>
      </c>
      <c r="AX16" s="5">
        <f t="shared" si="17"/>
        <v>34.029038112522699</v>
      </c>
      <c r="AY16" s="5">
        <v>317776.76</v>
      </c>
      <c r="AZ16" s="5">
        <v>1038.45</v>
      </c>
      <c r="BA16" s="5">
        <v>2112.85</v>
      </c>
      <c r="BB16" s="5">
        <v>53.97</v>
      </c>
      <c r="BC16" s="5">
        <v>126.69499999999999</v>
      </c>
      <c r="BD16" s="5">
        <v>126.0175</v>
      </c>
      <c r="BE16" s="5">
        <v>161.4375</v>
      </c>
      <c r="BF16" s="5">
        <v>328.755</v>
      </c>
      <c r="BG16" s="5">
        <v>86.754999999999995</v>
      </c>
      <c r="BH16" s="5">
        <v>12.5825</v>
      </c>
      <c r="BI16" s="5">
        <v>10.692500000000001</v>
      </c>
      <c r="BJ16" s="5">
        <v>7790.9807846274489</v>
      </c>
      <c r="BK16" s="5">
        <v>8081.9110662068942</v>
      </c>
      <c r="BL16" s="5">
        <f t="shared" si="18"/>
        <v>290.93028157944536</v>
      </c>
      <c r="BM16" s="5">
        <v>51</v>
      </c>
      <c r="BN16" s="5">
        <v>58</v>
      </c>
      <c r="BO16" s="5">
        <v>5647.6201942068956</v>
      </c>
      <c r="BP16" s="5">
        <v>5274.8457126956509</v>
      </c>
      <c r="BQ16" s="5">
        <f t="shared" si="19"/>
        <v>-372.77448151124463</v>
      </c>
      <c r="BR16" s="5">
        <v>29</v>
      </c>
      <c r="BS16" s="5">
        <v>46</v>
      </c>
      <c r="BT16" s="5">
        <f t="shared" si="21"/>
        <v>7014.012570599999</v>
      </c>
      <c r="BU16" s="5">
        <f t="shared" si="22"/>
        <v>6840.3244675384594</v>
      </c>
      <c r="BV16" s="5">
        <f t="shared" si="20"/>
        <v>-173.68810306153955</v>
      </c>
      <c r="BW16" s="5">
        <v>79.165238695358369</v>
      </c>
      <c r="BX16" s="5">
        <v>85.813905472153522</v>
      </c>
      <c r="BY16" s="5">
        <v>0.94117647058823528</v>
      </c>
      <c r="BZ16" s="5">
        <v>1.1896551724137931</v>
      </c>
      <c r="CA16" s="5">
        <v>8277.9170836666653</v>
      </c>
      <c r="CB16" s="5">
        <v>6793.4904614492734</v>
      </c>
      <c r="CC16" s="5">
        <v>67.938092243433147</v>
      </c>
      <c r="CD16" s="5">
        <v>69.565700882068498</v>
      </c>
      <c r="CE16" s="5">
        <v>0.75862068965517238</v>
      </c>
      <c r="CF16" s="5">
        <v>0.39130434782608697</v>
      </c>
      <c r="CG16" s="5">
        <v>7444.5902559999995</v>
      </c>
      <c r="CH16" s="5">
        <v>13480.161265777773</v>
      </c>
    </row>
    <row r="17" spans="1:86" x14ac:dyDescent="0.25">
      <c r="A17" s="3" t="s">
        <v>35</v>
      </c>
      <c r="B17" s="1" t="s">
        <v>2</v>
      </c>
      <c r="C17" s="1">
        <v>1</v>
      </c>
      <c r="D17" s="4">
        <v>16.529152159999999</v>
      </c>
      <c r="E17" s="4">
        <f t="shared" si="1"/>
        <v>18.286445012787723</v>
      </c>
      <c r="F17" s="4">
        <f t="shared" si="2"/>
        <v>17.391304347826086</v>
      </c>
      <c r="G17" s="4">
        <f t="shared" si="3"/>
        <v>-0.89514066496163736</v>
      </c>
      <c r="H17" s="4">
        <v>78.2</v>
      </c>
      <c r="I17" s="4">
        <v>78.2</v>
      </c>
      <c r="J17" s="4">
        <f t="shared" si="4"/>
        <v>0</v>
      </c>
      <c r="K17" s="5">
        <v>19</v>
      </c>
      <c r="L17" s="4">
        <v>60.3</v>
      </c>
      <c r="M17" s="4">
        <v>61.4</v>
      </c>
      <c r="N17" s="4">
        <f t="shared" si="5"/>
        <v>1.1000000000000014</v>
      </c>
      <c r="O17" s="4">
        <v>14.3</v>
      </c>
      <c r="P17" s="4">
        <v>13.6</v>
      </c>
      <c r="Q17" s="4">
        <f t="shared" si="6"/>
        <v>-0.70000000000000107</v>
      </c>
      <c r="R17" s="4">
        <v>7.8176043557168784</v>
      </c>
      <c r="S17" s="4">
        <v>8.2531760435571684</v>
      </c>
      <c r="T17" s="4">
        <f t="shared" si="7"/>
        <v>0.43557168784028999</v>
      </c>
      <c r="U17" s="4">
        <v>1.31</v>
      </c>
      <c r="V17" s="4">
        <v>2.0499999999999998</v>
      </c>
      <c r="W17" s="4">
        <f t="shared" si="8"/>
        <v>0.73999999999999977</v>
      </c>
      <c r="X17" s="4">
        <v>156.37280000000001</v>
      </c>
      <c r="Y17" s="4">
        <v>160.8432</v>
      </c>
      <c r="Z17" s="4">
        <f t="shared" si="9"/>
        <v>4.4703999999999837</v>
      </c>
      <c r="AA17" s="5">
        <v>79.587096639999999</v>
      </c>
      <c r="AB17" s="5">
        <v>80.203759626766299</v>
      </c>
      <c r="AC17" s="5">
        <f t="shared" si="10"/>
        <v>0.61666298676630049</v>
      </c>
      <c r="AD17" s="5">
        <v>149.79679999999999</v>
      </c>
      <c r="AE17" s="5">
        <v>154.56800000000001</v>
      </c>
      <c r="AF17" s="5">
        <f t="shared" si="11"/>
        <v>4.7712000000000216</v>
      </c>
      <c r="AG17" s="5">
        <v>52.921599999999998</v>
      </c>
      <c r="AH17" s="5">
        <v>50.686399999999999</v>
      </c>
      <c r="AI17" s="5">
        <f t="shared" si="12"/>
        <v>-2.235199999999999</v>
      </c>
      <c r="AJ17" s="5">
        <v>6.5759999999999996</v>
      </c>
      <c r="AK17" s="5">
        <v>6.2751999999999999</v>
      </c>
      <c r="AL17" s="5">
        <f t="shared" si="13"/>
        <v>-0.30079999999999973</v>
      </c>
      <c r="AM17" s="5">
        <v>48.555199999999999</v>
      </c>
      <c r="AN17" s="5">
        <v>46.235199999999999</v>
      </c>
      <c r="AO17" s="5">
        <f t="shared" si="14"/>
        <v>-2.3200000000000003</v>
      </c>
      <c r="AP17" s="5">
        <v>166.06170598911069</v>
      </c>
      <c r="AQ17" s="5">
        <v>270.87114337568056</v>
      </c>
      <c r="AR17" s="5">
        <f t="shared" si="15"/>
        <v>104.80943738656987</v>
      </c>
      <c r="AS17" s="5">
        <v>56.715063520871141</v>
      </c>
      <c r="AT17" s="5">
        <v>69.419237749546269</v>
      </c>
      <c r="AU17" s="5">
        <f t="shared" si="16"/>
        <v>12.704174228675129</v>
      </c>
      <c r="AV17" s="5">
        <v>90.290381125226858</v>
      </c>
      <c r="AW17" s="5">
        <v>134.30127041742287</v>
      </c>
      <c r="AX17" s="5">
        <f t="shared" si="17"/>
        <v>44.010889292196012</v>
      </c>
      <c r="AY17" s="5">
        <v>210646.57</v>
      </c>
      <c r="AZ17" s="5">
        <v>1899.0125</v>
      </c>
      <c r="BA17" s="5">
        <v>1445.8824999999999</v>
      </c>
      <c r="BB17" s="5">
        <v>93.37</v>
      </c>
      <c r="BC17" s="5">
        <v>80.602500000000006</v>
      </c>
      <c r="BD17" s="5">
        <v>197.47</v>
      </c>
      <c r="BE17" s="5">
        <v>138.89250000000001</v>
      </c>
      <c r="BF17" s="5">
        <v>742.51499999999999</v>
      </c>
      <c r="BG17" s="5">
        <v>62.917499999999997</v>
      </c>
      <c r="BH17" s="5">
        <v>20.13</v>
      </c>
      <c r="BI17" s="5">
        <v>11.1325</v>
      </c>
      <c r="BJ17" s="5">
        <v>5723.5216733866655</v>
      </c>
      <c r="BK17" s="5">
        <v>4618.5216929914513</v>
      </c>
      <c r="BL17" s="5">
        <f t="shared" si="18"/>
        <v>-1104.9999803952142</v>
      </c>
      <c r="BM17" s="5">
        <v>75</v>
      </c>
      <c r="BN17" s="5">
        <v>117</v>
      </c>
      <c r="BO17" s="5">
        <v>4176.4420831999996</v>
      </c>
      <c r="BP17" s="5">
        <v>4023.8516800000002</v>
      </c>
      <c r="BQ17" s="5">
        <f t="shared" si="19"/>
        <v>-152.5904031999994</v>
      </c>
      <c r="BR17" s="5">
        <v>35</v>
      </c>
      <c r="BS17" s="5">
        <v>54</v>
      </c>
      <c r="BT17" s="5">
        <f t="shared" si="21"/>
        <v>5231.2690765090902</v>
      </c>
      <c r="BU17" s="5">
        <f t="shared" si="22"/>
        <v>4430.7311625730981</v>
      </c>
      <c r="BV17" s="5">
        <f t="shared" si="20"/>
        <v>-800.53791393599204</v>
      </c>
      <c r="BW17" s="5">
        <v>73.916222197847745</v>
      </c>
      <c r="BX17" s="5">
        <v>63.729775623362926</v>
      </c>
      <c r="BY17" s="5">
        <v>0.44</v>
      </c>
      <c r="BZ17" s="5">
        <v>0.36752136752136755</v>
      </c>
      <c r="CA17" s="5">
        <v>13008.003803151512</v>
      </c>
      <c r="CB17" s="5">
        <v>12566.675304186041</v>
      </c>
      <c r="CC17" s="5">
        <v>62.774505843758341</v>
      </c>
      <c r="CD17" s="5">
        <v>60.940567856271407</v>
      </c>
      <c r="CE17" s="5">
        <v>0.68571428571428572</v>
      </c>
      <c r="CF17" s="5">
        <v>0.27777777777777779</v>
      </c>
      <c r="CG17" s="5">
        <v>6090.6447046666663</v>
      </c>
      <c r="CH17" s="5">
        <v>14485.866048</v>
      </c>
    </row>
    <row r="18" spans="1:86" x14ac:dyDescent="0.25">
      <c r="A18" s="3" t="s">
        <v>14</v>
      </c>
      <c r="B18" s="1" t="s">
        <v>4</v>
      </c>
      <c r="C18" s="1">
        <v>2</v>
      </c>
      <c r="D18" s="4">
        <v>16.4399093</v>
      </c>
      <c r="E18" s="4">
        <f t="shared" si="1"/>
        <v>34.189189189189193</v>
      </c>
      <c r="F18" s="4">
        <f t="shared" si="2"/>
        <v>32.568149210903876</v>
      </c>
      <c r="G18" s="4">
        <f t="shared" si="3"/>
        <v>-1.6210399782853173</v>
      </c>
      <c r="H18" s="4">
        <v>74</v>
      </c>
      <c r="I18" s="4">
        <v>69.7</v>
      </c>
      <c r="J18" s="4">
        <f t="shared" si="4"/>
        <v>-4.2999999999999972</v>
      </c>
      <c r="K18" s="5">
        <v>23</v>
      </c>
      <c r="L18" s="4">
        <v>46.4</v>
      </c>
      <c r="M18" s="4">
        <v>44.6</v>
      </c>
      <c r="N18" s="4">
        <f t="shared" si="5"/>
        <v>-1.7999999999999972</v>
      </c>
      <c r="O18" s="4">
        <v>25.3</v>
      </c>
      <c r="P18" s="4">
        <v>22.7</v>
      </c>
      <c r="Q18" s="4">
        <f t="shared" si="6"/>
        <v>-2.6000000000000014</v>
      </c>
      <c r="R18" s="4">
        <v>5.3085299455535386</v>
      </c>
      <c r="S18" s="4">
        <v>5.1724137931034484</v>
      </c>
      <c r="T18" s="4">
        <f t="shared" si="7"/>
        <v>-0.13611615245009023</v>
      </c>
      <c r="U18" s="4">
        <v>1.82</v>
      </c>
      <c r="V18" s="4">
        <v>2.06</v>
      </c>
      <c r="W18" s="4">
        <f t="shared" si="8"/>
        <v>0.24</v>
      </c>
      <c r="X18" s="4">
        <v>114.8432</v>
      </c>
      <c r="Y18" s="4">
        <v>123.0112</v>
      </c>
      <c r="Z18" s="4">
        <f t="shared" si="9"/>
        <v>8.1680000000000064</v>
      </c>
      <c r="AA18" s="5">
        <v>75.182200699999996</v>
      </c>
      <c r="AB18" s="5">
        <v>79.298226893164099</v>
      </c>
      <c r="AC18" s="5">
        <f t="shared" si="10"/>
        <v>4.1160261931641031</v>
      </c>
      <c r="AD18" s="5">
        <v>109.2672</v>
      </c>
      <c r="AE18" s="5">
        <v>117.91840000000001</v>
      </c>
      <c r="AF18" s="5">
        <f t="shared" si="11"/>
        <v>8.6512000000000029</v>
      </c>
      <c r="AG18" s="5">
        <v>69.964799999999997</v>
      </c>
      <c r="AH18" s="5">
        <v>66.371200000000002</v>
      </c>
      <c r="AI18" s="5">
        <f t="shared" si="12"/>
        <v>-3.593599999999995</v>
      </c>
      <c r="AJ18" s="5">
        <v>5.5759999999999996</v>
      </c>
      <c r="AK18" s="5">
        <v>5.0928000000000004</v>
      </c>
      <c r="AL18" s="5">
        <f t="shared" si="13"/>
        <v>-0.48319999999999919</v>
      </c>
      <c r="AM18" s="5">
        <v>65.888000000000005</v>
      </c>
      <c r="AN18" s="5">
        <v>62.046399999999998</v>
      </c>
      <c r="AO18" s="5">
        <f t="shared" si="14"/>
        <v>-3.8416000000000068</v>
      </c>
      <c r="AP18" s="5">
        <v>112.06896551724137</v>
      </c>
      <c r="AQ18" s="5">
        <v>146.55172413793102</v>
      </c>
      <c r="AR18" s="5">
        <f t="shared" si="15"/>
        <v>34.482758620689651</v>
      </c>
      <c r="AS18" s="5">
        <v>46.279491833030846</v>
      </c>
      <c r="AT18" s="5">
        <v>54.446460980036292</v>
      </c>
      <c r="AU18" s="5">
        <f t="shared" si="16"/>
        <v>8.166969147005446</v>
      </c>
      <c r="AV18" s="5">
        <v>73.956442831215966</v>
      </c>
      <c r="AW18" s="5">
        <v>92.558983666061692</v>
      </c>
      <c r="AX18" s="5">
        <f t="shared" si="17"/>
        <v>18.602540834845726</v>
      </c>
      <c r="AY18" s="5">
        <v>156864.79999999999</v>
      </c>
      <c r="AZ18" s="5">
        <v>2324.2249999999999</v>
      </c>
      <c r="BA18" s="5">
        <v>1716.655</v>
      </c>
      <c r="BB18" s="5">
        <v>85.547499999999999</v>
      </c>
      <c r="BC18" s="5">
        <v>75.59</v>
      </c>
      <c r="BD18" s="5">
        <v>286.33999999999997</v>
      </c>
      <c r="BE18" s="5">
        <v>251.02500000000001</v>
      </c>
      <c r="BF18" s="5">
        <v>520.27</v>
      </c>
      <c r="BG18" s="5">
        <v>43.8</v>
      </c>
      <c r="BH18" s="5">
        <v>14.057499999999999</v>
      </c>
      <c r="BI18" s="5">
        <v>20.467500000000001</v>
      </c>
      <c r="BJ18" s="5">
        <v>3516.1035724137923</v>
      </c>
      <c r="BK18" s="5">
        <v>4785.6687361311469</v>
      </c>
      <c r="BL18" s="5">
        <f t="shared" si="18"/>
        <v>1269.5651637173546</v>
      </c>
      <c r="BM18" s="5">
        <v>174</v>
      </c>
      <c r="BN18" s="5">
        <v>122</v>
      </c>
      <c r="BO18" s="5">
        <v>2644.2915659130426</v>
      </c>
      <c r="BP18" s="5">
        <v>3457.5799996444439</v>
      </c>
      <c r="BQ18" s="5">
        <f t="shared" si="19"/>
        <v>813.28843373140126</v>
      </c>
      <c r="BR18" s="5">
        <v>69</v>
      </c>
      <c r="BS18" s="5">
        <v>45</v>
      </c>
      <c r="BT18" s="5">
        <f t="shared" si="21"/>
        <v>3268.5520150123448</v>
      </c>
      <c r="BU18" s="5">
        <f t="shared" si="22"/>
        <v>4427.80051372455</v>
      </c>
      <c r="BV18" s="5">
        <f t="shared" si="20"/>
        <v>1159.2484987122052</v>
      </c>
      <c r="BW18" s="5">
        <v>57.727032605687832</v>
      </c>
      <c r="BX18" s="5">
        <v>66.755199022375066</v>
      </c>
      <c r="BY18" s="5">
        <v>0.41379310344827586</v>
      </c>
      <c r="BZ18" s="5">
        <v>0.48360655737704916</v>
      </c>
      <c r="CA18" s="5">
        <v>8497.2502999999979</v>
      </c>
      <c r="CB18" s="5">
        <v>9895.7895899661016</v>
      </c>
      <c r="CC18" s="5">
        <v>50.690759616646837</v>
      </c>
      <c r="CD18" s="5">
        <v>57.585690341331301</v>
      </c>
      <c r="CE18" s="5">
        <v>0.21739130434782608</v>
      </c>
      <c r="CF18" s="5">
        <v>0.24444444444444444</v>
      </c>
      <c r="CG18" s="5">
        <v>12163.741203199996</v>
      </c>
      <c r="CH18" s="5">
        <v>14144.645453090907</v>
      </c>
    </row>
    <row r="19" spans="1:86" x14ac:dyDescent="0.25">
      <c r="A19" s="3" t="s">
        <v>15</v>
      </c>
      <c r="B19" s="1" t="s">
        <v>5</v>
      </c>
      <c r="C19" s="1">
        <v>3</v>
      </c>
      <c r="D19" s="4">
        <v>20.277574869999999</v>
      </c>
      <c r="E19" s="4">
        <f t="shared" si="1"/>
        <v>19.191919191919194</v>
      </c>
      <c r="F19" s="4">
        <f t="shared" si="2"/>
        <v>13.958810068649885</v>
      </c>
      <c r="G19" s="4">
        <f t="shared" si="3"/>
        <v>-5.2331091232693083</v>
      </c>
      <c r="H19" s="4">
        <v>89.1</v>
      </c>
      <c r="I19" s="4">
        <v>87.4</v>
      </c>
      <c r="J19" s="4">
        <f t="shared" si="4"/>
        <v>-1.6999999999999886</v>
      </c>
      <c r="K19" s="5">
        <v>29</v>
      </c>
      <c r="L19" s="4">
        <v>69.400000000000006</v>
      </c>
      <c r="M19" s="4">
        <v>72.5</v>
      </c>
      <c r="N19" s="4">
        <f t="shared" si="5"/>
        <v>3.0999999999999943</v>
      </c>
      <c r="O19" s="4">
        <v>17.100000000000001</v>
      </c>
      <c r="P19" s="4">
        <v>12.2</v>
      </c>
      <c r="Q19" s="4">
        <f t="shared" si="6"/>
        <v>-4.9000000000000021</v>
      </c>
      <c r="R19" s="4">
        <v>9.664246823956443</v>
      </c>
      <c r="S19" s="4">
        <v>10.254083484573503</v>
      </c>
      <c r="T19" s="4">
        <f t="shared" si="7"/>
        <v>0.58983666061705975</v>
      </c>
      <c r="U19" s="4">
        <v>2.1800000000000002</v>
      </c>
      <c r="V19" s="4">
        <v>2.75</v>
      </c>
      <c r="W19" s="4">
        <f t="shared" si="8"/>
        <v>0.56999999999999984</v>
      </c>
      <c r="X19" s="4">
        <v>198.5712</v>
      </c>
      <c r="Y19" s="4">
        <v>219.744</v>
      </c>
      <c r="Z19" s="4">
        <f t="shared" si="9"/>
        <v>21.172799999999995</v>
      </c>
      <c r="AA19" s="5">
        <v>78.90467013</v>
      </c>
      <c r="AB19" s="5">
        <v>80.985033231391895</v>
      </c>
      <c r="AC19" s="5">
        <f t="shared" si="10"/>
        <v>2.080363101391896</v>
      </c>
      <c r="AD19" s="5">
        <v>182.9616</v>
      </c>
      <c r="AE19" s="5">
        <v>201.87360000000001</v>
      </c>
      <c r="AF19" s="5">
        <f t="shared" si="11"/>
        <v>18.912000000000006</v>
      </c>
      <c r="AG19" s="5">
        <v>57.052799999999998</v>
      </c>
      <c r="AH19" s="5">
        <v>45.585599999999999</v>
      </c>
      <c r="AI19" s="5">
        <f t="shared" si="12"/>
        <v>-11.467199999999998</v>
      </c>
      <c r="AJ19" s="5">
        <v>15.6096</v>
      </c>
      <c r="AK19" s="5">
        <v>17.8704</v>
      </c>
      <c r="AL19" s="5">
        <f t="shared" si="13"/>
        <v>2.2607999999999997</v>
      </c>
      <c r="AM19" s="5">
        <v>51.287999999999997</v>
      </c>
      <c r="AN19" s="5">
        <v>39.5792</v>
      </c>
      <c r="AO19" s="5">
        <f t="shared" si="14"/>
        <v>-11.708799999999997</v>
      </c>
      <c r="AP19" s="5">
        <v>291.28856624319417</v>
      </c>
      <c r="AQ19" s="5">
        <v>375.68058076225043</v>
      </c>
      <c r="AR19" s="5">
        <f t="shared" si="15"/>
        <v>84.392014519056261</v>
      </c>
      <c r="AS19" s="5">
        <v>93.012704174228674</v>
      </c>
      <c r="AT19" s="5">
        <v>99.818511796733205</v>
      </c>
      <c r="AU19" s="5">
        <f t="shared" si="16"/>
        <v>6.8058076225045312</v>
      </c>
      <c r="AV19" s="5">
        <v>134.30127041742287</v>
      </c>
      <c r="AW19" s="5">
        <v>190.10889292196006</v>
      </c>
      <c r="AX19" s="5">
        <f t="shared" si="17"/>
        <v>55.807622504537193</v>
      </c>
      <c r="AY19" s="5">
        <v>349269</v>
      </c>
      <c r="AZ19" s="5">
        <v>2939.25</v>
      </c>
      <c r="BA19" s="5">
        <v>3604.7402750000001</v>
      </c>
      <c r="BB19" s="5">
        <v>156.8475</v>
      </c>
      <c r="BC19" s="5">
        <v>240.64139</v>
      </c>
      <c r="BD19" s="5">
        <v>374.07</v>
      </c>
      <c r="BE19" s="5">
        <v>481.1416668</v>
      </c>
      <c r="BF19" s="5">
        <v>902.13250000000005</v>
      </c>
      <c r="BG19" s="5">
        <v>157.24916680000001</v>
      </c>
      <c r="BH19" s="5">
        <v>37.922499999999999</v>
      </c>
      <c r="BI19" s="5">
        <v>63.27</v>
      </c>
      <c r="BJ19" s="5">
        <v>9434.5808383333315</v>
      </c>
      <c r="BK19" s="5">
        <v>7173.3851751428547</v>
      </c>
      <c r="BL19" s="5">
        <f t="shared" si="18"/>
        <v>-2261.1956631904768</v>
      </c>
      <c r="BM19" s="5">
        <v>48</v>
      </c>
      <c r="BN19" s="5">
        <v>56</v>
      </c>
      <c r="BO19" s="5">
        <v>10377.831083294117</v>
      </c>
      <c r="BP19" s="5">
        <v>7929.3427816585345</v>
      </c>
      <c r="BQ19" s="5">
        <f t="shared" si="19"/>
        <v>-2448.4883016355825</v>
      </c>
      <c r="BR19" s="5">
        <v>17</v>
      </c>
      <c r="BS19" s="5">
        <v>41</v>
      </c>
      <c r="BT19" s="5">
        <f t="shared" si="21"/>
        <v>9681.2770562461519</v>
      </c>
      <c r="BU19" s="5">
        <f t="shared" si="22"/>
        <v>7492.9136479999979</v>
      </c>
      <c r="BV19" s="5">
        <f t="shared" si="20"/>
        <v>-2188.363408246154</v>
      </c>
      <c r="BW19" s="5">
        <v>80.802796772232512</v>
      </c>
      <c r="BX19" s="5">
        <v>80.745250435920454</v>
      </c>
      <c r="BY19" s="5">
        <v>1.1666666666666667</v>
      </c>
      <c r="BZ19" s="5">
        <v>0.6428571428571429</v>
      </c>
      <c r="CA19" s="5">
        <v>8086.7835757142839</v>
      </c>
      <c r="CB19" s="5">
        <v>11158.599161333328</v>
      </c>
      <c r="CC19" s="5">
        <v>89.264819295207403</v>
      </c>
      <c r="CD19" s="5">
        <v>85.215786917888877</v>
      </c>
      <c r="CE19" s="5">
        <v>0.76470588235294112</v>
      </c>
      <c r="CF19" s="5">
        <v>0.78048780487804881</v>
      </c>
      <c r="CG19" s="5">
        <v>13571.009878153845</v>
      </c>
      <c r="CH19" s="5">
        <v>10159.470438999997</v>
      </c>
    </row>
    <row r="20" spans="1:86" x14ac:dyDescent="0.25">
      <c r="A20" s="3" t="s">
        <v>16</v>
      </c>
      <c r="B20" s="1" t="s">
        <v>2</v>
      </c>
      <c r="C20" s="1">
        <v>1</v>
      </c>
      <c r="D20" s="4">
        <v>15.883264459999999</v>
      </c>
      <c r="E20" s="4">
        <f t="shared" si="1"/>
        <v>30.4</v>
      </c>
      <c r="F20" s="4">
        <f t="shared" si="2"/>
        <v>30.911492734478202</v>
      </c>
      <c r="G20" s="4">
        <f t="shared" si="3"/>
        <v>0.5114927344782032</v>
      </c>
      <c r="H20" s="4">
        <v>75</v>
      </c>
      <c r="I20" s="4">
        <v>75.7</v>
      </c>
      <c r="J20" s="4">
        <f t="shared" si="4"/>
        <v>0.70000000000000284</v>
      </c>
      <c r="K20" s="5">
        <v>26</v>
      </c>
      <c r="L20" s="4">
        <v>49.2</v>
      </c>
      <c r="M20" s="4">
        <v>51.2</v>
      </c>
      <c r="N20" s="4">
        <f t="shared" si="5"/>
        <v>2</v>
      </c>
      <c r="O20" s="4">
        <v>22.8</v>
      </c>
      <c r="P20" s="4">
        <v>23.4</v>
      </c>
      <c r="Q20" s="4">
        <f t="shared" si="6"/>
        <v>0.59999999999999787</v>
      </c>
      <c r="R20" s="4">
        <v>5.9891107078039916</v>
      </c>
      <c r="S20" s="4">
        <v>6.4428312159709611</v>
      </c>
      <c r="T20" s="4">
        <f t="shared" si="7"/>
        <v>0.45372050816696952</v>
      </c>
      <c r="U20" s="4">
        <v>1.99</v>
      </c>
      <c r="V20" s="4">
        <v>2.48</v>
      </c>
      <c r="W20" s="4">
        <f t="shared" si="8"/>
        <v>0.49</v>
      </c>
      <c r="X20" s="4">
        <v>122.23520000000001</v>
      </c>
      <c r="Y20" s="4">
        <v>137.27520000000001</v>
      </c>
      <c r="Z20" s="4">
        <f t="shared" si="9"/>
        <v>15.040000000000006</v>
      </c>
      <c r="AA20" s="5">
        <v>77.417132240000001</v>
      </c>
      <c r="AB20" s="5">
        <v>77.511754397004296</v>
      </c>
      <c r="AC20" s="5">
        <f t="shared" si="10"/>
        <v>9.4622157004295104E-2</v>
      </c>
      <c r="AD20" s="5">
        <v>117.9632</v>
      </c>
      <c r="AE20" s="5">
        <v>131.98079999999999</v>
      </c>
      <c r="AF20" s="5">
        <f t="shared" si="11"/>
        <v>14.017599999999987</v>
      </c>
      <c r="AG20" s="5">
        <v>53.488</v>
      </c>
      <c r="AH20" s="5">
        <v>58.092799999999997</v>
      </c>
      <c r="AI20" s="5">
        <f t="shared" si="12"/>
        <v>4.6047999999999973</v>
      </c>
      <c r="AJ20" s="5">
        <v>4.2720000000000002</v>
      </c>
      <c r="AK20" s="5">
        <v>5.2944000000000004</v>
      </c>
      <c r="AL20" s="5">
        <f t="shared" si="13"/>
        <v>1.0224000000000002</v>
      </c>
      <c r="AM20" s="5">
        <v>49.48</v>
      </c>
      <c r="AN20" s="5">
        <v>53.641599999999997</v>
      </c>
      <c r="AO20" s="5">
        <f t="shared" si="14"/>
        <v>4.1616</v>
      </c>
      <c r="AP20" s="5">
        <v>128.85662431941924</v>
      </c>
      <c r="AQ20" s="5">
        <v>187.84029038112521</v>
      </c>
      <c r="AR20" s="5">
        <f t="shared" si="15"/>
        <v>58.983666061705975</v>
      </c>
      <c r="AS20" s="5">
        <v>74.8638838475499</v>
      </c>
      <c r="AT20" s="5">
        <v>92.558983666061692</v>
      </c>
      <c r="AU20" s="5">
        <f t="shared" si="16"/>
        <v>17.695099818511792</v>
      </c>
      <c r="AV20" s="5">
        <v>79.401088929219597</v>
      </c>
      <c r="AW20" s="5">
        <v>119.32849364791288</v>
      </c>
      <c r="AX20" s="5">
        <f t="shared" si="17"/>
        <v>39.927404718693282</v>
      </c>
      <c r="AY20" s="5">
        <v>188532.28</v>
      </c>
      <c r="AZ20" s="5">
        <v>2116.0250000000001</v>
      </c>
      <c r="BA20" s="5">
        <v>1060.7850000000001</v>
      </c>
      <c r="BB20" s="5">
        <v>94.202500000000001</v>
      </c>
      <c r="BC20" s="5">
        <v>59.564999999999998</v>
      </c>
      <c r="BD20" s="5">
        <v>289.42500000000001</v>
      </c>
      <c r="BE20" s="5">
        <v>104.7675</v>
      </c>
      <c r="BF20" s="5">
        <v>98.27</v>
      </c>
      <c r="BG20" s="5">
        <v>50.942500000000003</v>
      </c>
      <c r="BH20" s="5">
        <v>19.912500000000001</v>
      </c>
      <c r="BI20" s="5">
        <v>13.115</v>
      </c>
      <c r="BJ20" s="5">
        <v>3518.9596151641795</v>
      </c>
      <c r="BK20" s="5">
        <v>5424.5702478399999</v>
      </c>
      <c r="BL20" s="5">
        <f t="shared" si="18"/>
        <v>1905.6106326758204</v>
      </c>
      <c r="BM20" s="5">
        <v>134</v>
      </c>
      <c r="BN20" s="5">
        <v>100</v>
      </c>
      <c r="BO20" s="5">
        <v>4189.9366798688525</v>
      </c>
      <c r="BP20" s="5">
        <v>5345.1866858666663</v>
      </c>
      <c r="BQ20" s="5">
        <f t="shared" si="19"/>
        <v>1155.2500059978138</v>
      </c>
      <c r="BR20" s="5">
        <v>61</v>
      </c>
      <c r="BS20" s="5">
        <v>45</v>
      </c>
      <c r="BT20" s="5">
        <f t="shared" si="21"/>
        <v>3728.8550046358978</v>
      </c>
      <c r="BU20" s="5">
        <f t="shared" si="22"/>
        <v>5399.9339699862066</v>
      </c>
      <c r="BV20" s="5">
        <f t="shared" si="20"/>
        <v>1671.0789653503089</v>
      </c>
      <c r="BW20" s="5">
        <v>58.670318724556168</v>
      </c>
      <c r="BX20" s="5">
        <v>69.681457098538431</v>
      </c>
      <c r="BY20" s="5">
        <v>0.44776119402985076</v>
      </c>
      <c r="BZ20" s="5">
        <v>0.59</v>
      </c>
      <c r="CA20" s="5">
        <v>7859.009807200001</v>
      </c>
      <c r="CB20" s="5">
        <v>9194.1868607457636</v>
      </c>
      <c r="CC20" s="5">
        <v>63.123052325675253</v>
      </c>
      <c r="CD20" s="5">
        <v>71.209191297798128</v>
      </c>
      <c r="CE20" s="5">
        <v>0.42622950819672129</v>
      </c>
      <c r="CF20" s="5">
        <v>0.6</v>
      </c>
      <c r="CG20" s="5">
        <v>9830.2360566153857</v>
      </c>
      <c r="CH20" s="5">
        <v>8908.6444764444441</v>
      </c>
    </row>
    <row r="21" spans="1:86" x14ac:dyDescent="0.25">
      <c r="A21" s="3" t="s">
        <v>17</v>
      </c>
      <c r="B21" s="1" t="s">
        <v>5</v>
      </c>
      <c r="C21" s="1">
        <v>3</v>
      </c>
      <c r="D21" s="4">
        <v>19.036734689999999</v>
      </c>
      <c r="E21" s="4">
        <f t="shared" si="1"/>
        <v>15.598885793871867</v>
      </c>
      <c r="F21" s="4">
        <f t="shared" si="2"/>
        <v>16.920943134535367</v>
      </c>
      <c r="G21" s="4">
        <f t="shared" si="3"/>
        <v>1.3220573406635001</v>
      </c>
      <c r="H21" s="4">
        <v>71.8</v>
      </c>
      <c r="I21" s="4">
        <v>72.099999999999994</v>
      </c>
      <c r="J21" s="4">
        <f t="shared" si="4"/>
        <v>0.29999999999999716</v>
      </c>
      <c r="K21" s="5">
        <v>18</v>
      </c>
      <c r="L21" s="4">
        <v>58.3</v>
      </c>
      <c r="M21" s="4">
        <v>57.4</v>
      </c>
      <c r="N21" s="4">
        <f t="shared" si="5"/>
        <v>-0.89999999999999858</v>
      </c>
      <c r="O21" s="4">
        <v>11.2</v>
      </c>
      <c r="P21" s="4">
        <v>12.2</v>
      </c>
      <c r="Q21" s="4">
        <f t="shared" si="6"/>
        <v>1</v>
      </c>
      <c r="R21" s="4">
        <v>7.8312159709618872</v>
      </c>
      <c r="S21" s="4">
        <v>7.8312159709618872</v>
      </c>
      <c r="T21" s="4">
        <f t="shared" si="7"/>
        <v>0</v>
      </c>
      <c r="U21" s="4">
        <v>2.2000000000000002</v>
      </c>
      <c r="V21" s="4">
        <v>2.2599999999999998</v>
      </c>
      <c r="W21" s="4">
        <f t="shared" si="8"/>
        <v>5.9999999999999609E-2</v>
      </c>
      <c r="X21" s="4">
        <v>158.89920000000001</v>
      </c>
      <c r="Y21" s="4">
        <v>168.05600000000001</v>
      </c>
      <c r="Z21" s="4">
        <f t="shared" si="9"/>
        <v>9.156800000000004</v>
      </c>
      <c r="AA21" s="5">
        <v>79.25345944</v>
      </c>
      <c r="AB21" s="5">
        <v>80.482402399201902</v>
      </c>
      <c r="AC21" s="5">
        <f t="shared" si="10"/>
        <v>1.2289429592019019</v>
      </c>
      <c r="AD21" s="5">
        <v>152.7568</v>
      </c>
      <c r="AE21" s="5">
        <v>159.9248</v>
      </c>
      <c r="AF21" s="5">
        <f t="shared" si="11"/>
        <v>7.1680000000000064</v>
      </c>
      <c r="AG21" s="5">
        <v>37.220799999999997</v>
      </c>
      <c r="AH21" s="5">
        <v>39.04</v>
      </c>
      <c r="AI21" s="5">
        <f t="shared" si="12"/>
        <v>1.8192000000000021</v>
      </c>
      <c r="AJ21" s="5">
        <v>6.1424000000000003</v>
      </c>
      <c r="AK21" s="5">
        <v>8.1311999999999998</v>
      </c>
      <c r="AL21" s="5">
        <f t="shared" si="13"/>
        <v>1.9887999999999995</v>
      </c>
      <c r="AM21" s="5">
        <v>32.926400000000001</v>
      </c>
      <c r="AN21" s="5">
        <v>34.374400000000001</v>
      </c>
      <c r="AO21" s="5">
        <f t="shared" si="14"/>
        <v>1.4480000000000004</v>
      </c>
      <c r="AP21" s="5">
        <v>185.57168784029037</v>
      </c>
      <c r="AQ21" s="5">
        <v>273.13974591651538</v>
      </c>
      <c r="AR21" s="5">
        <f t="shared" si="15"/>
        <v>87.568058076225014</v>
      </c>
      <c r="AS21" s="5">
        <v>75.771324863883848</v>
      </c>
      <c r="AT21" s="5">
        <v>83.484573502722313</v>
      </c>
      <c r="AU21" s="5">
        <f t="shared" si="16"/>
        <v>7.7132486388384649</v>
      </c>
      <c r="AV21" s="5">
        <v>104.80943738656987</v>
      </c>
      <c r="AW21" s="5">
        <v>143.82940108892922</v>
      </c>
      <c r="AX21" s="5">
        <f t="shared" si="17"/>
        <v>39.019963702359348</v>
      </c>
      <c r="AY21" s="5">
        <v>242406.99</v>
      </c>
      <c r="AZ21" s="5">
        <v>1750.0025000000001</v>
      </c>
      <c r="BA21" s="5">
        <v>1983.462775</v>
      </c>
      <c r="BB21" s="5">
        <v>81.622500000000002</v>
      </c>
      <c r="BC21" s="5">
        <v>109.05389</v>
      </c>
      <c r="BD21" s="5">
        <v>224.6275</v>
      </c>
      <c r="BE21" s="5">
        <v>169.81166680000001</v>
      </c>
      <c r="BF21" s="5">
        <v>550.59</v>
      </c>
      <c r="BG21" s="5">
        <v>103.3991668</v>
      </c>
      <c r="BH21" s="5">
        <v>13.15</v>
      </c>
      <c r="BI21" s="5">
        <v>11.1425</v>
      </c>
      <c r="BJ21" s="5">
        <v>4796.4648676226425</v>
      </c>
      <c r="BK21" s="5">
        <v>4739.5741628333317</v>
      </c>
      <c r="BL21" s="5">
        <f t="shared" si="18"/>
        <v>-56.890704789310803</v>
      </c>
      <c r="BM21" s="5">
        <v>106</v>
      </c>
      <c r="BN21" s="5">
        <v>96</v>
      </c>
      <c r="BO21" s="5">
        <v>3938.885431876924</v>
      </c>
      <c r="BP21" s="5">
        <v>3389.0208184761909</v>
      </c>
      <c r="BQ21" s="5">
        <f t="shared" si="19"/>
        <v>-549.86461340073311</v>
      </c>
      <c r="BR21" s="5">
        <v>65</v>
      </c>
      <c r="BS21" s="5">
        <v>84</v>
      </c>
      <c r="BT21" s="5">
        <f t="shared" si="21"/>
        <v>4470.4843803508784</v>
      </c>
      <c r="BU21" s="5">
        <f t="shared" si="22"/>
        <v>4109.3159354666659</v>
      </c>
      <c r="BV21" s="5">
        <f t="shared" si="20"/>
        <v>-361.16844488421248</v>
      </c>
      <c r="BW21" s="5">
        <v>67.13679200346192</v>
      </c>
      <c r="BX21" s="5">
        <v>67.207504482472885</v>
      </c>
      <c r="BY21" s="5">
        <v>0.330188679245283</v>
      </c>
      <c r="BZ21" s="5">
        <v>0.1875</v>
      </c>
      <c r="CA21" s="5">
        <v>14526.436456228575</v>
      </c>
      <c r="CB21" s="5">
        <v>25277.728868444436</v>
      </c>
      <c r="CC21" s="5">
        <v>59.164776595940332</v>
      </c>
      <c r="CD21" s="5">
        <v>54.658702252244225</v>
      </c>
      <c r="CE21" s="5">
        <v>0.16923076923076924</v>
      </c>
      <c r="CF21" s="5">
        <v>0.39285714285714285</v>
      </c>
      <c r="CG21" s="5">
        <v>23275.232097454551</v>
      </c>
      <c r="CH21" s="5">
        <v>8626.5984470303047</v>
      </c>
    </row>
    <row r="22" spans="1:86" x14ac:dyDescent="0.25">
      <c r="A22" s="3" t="s">
        <v>18</v>
      </c>
      <c r="B22" s="1" t="s">
        <v>2</v>
      </c>
      <c r="C22" s="1">
        <v>1</v>
      </c>
      <c r="D22" s="4">
        <v>18.47602947</v>
      </c>
      <c r="E22" s="4">
        <f t="shared" si="1"/>
        <v>12.328767123287671</v>
      </c>
      <c r="F22" s="4">
        <f t="shared" si="2"/>
        <v>14.513981358189081</v>
      </c>
      <c r="G22" s="4">
        <f t="shared" si="3"/>
        <v>2.1852142349014105</v>
      </c>
      <c r="H22" s="4">
        <v>73</v>
      </c>
      <c r="I22" s="4">
        <v>75.099999999999994</v>
      </c>
      <c r="J22" s="4">
        <f t="shared" si="4"/>
        <v>2.0999999999999943</v>
      </c>
      <c r="K22" s="5">
        <v>19</v>
      </c>
      <c r="L22" s="4">
        <v>61.2</v>
      </c>
      <c r="M22" s="4">
        <v>61.7</v>
      </c>
      <c r="N22" s="4">
        <f t="shared" si="5"/>
        <v>0.5</v>
      </c>
      <c r="O22" s="4">
        <v>9</v>
      </c>
      <c r="P22" s="4">
        <v>10.9</v>
      </c>
      <c r="Q22" s="4">
        <f t="shared" si="6"/>
        <v>1.9000000000000004</v>
      </c>
      <c r="R22" s="4">
        <v>8.3529945553539022</v>
      </c>
      <c r="S22" s="4">
        <v>8.6388384754990923</v>
      </c>
      <c r="T22" s="4">
        <f t="shared" si="7"/>
        <v>0.28584392014519011</v>
      </c>
      <c r="U22" s="4">
        <v>3.11</v>
      </c>
      <c r="V22" s="4">
        <v>3.88</v>
      </c>
      <c r="W22" s="4">
        <f t="shared" si="8"/>
        <v>0.77</v>
      </c>
      <c r="X22" s="4">
        <v>179.77600000000001</v>
      </c>
      <c r="Y22" s="4">
        <v>192.38079999999999</v>
      </c>
      <c r="Z22" s="4">
        <f t="shared" si="9"/>
        <v>12.604799999999983</v>
      </c>
      <c r="AA22" s="5">
        <v>78.313813210000006</v>
      </c>
      <c r="AB22" s="5">
        <v>79.309222774824093</v>
      </c>
      <c r="AC22" s="5">
        <f t="shared" si="10"/>
        <v>0.9954095648240866</v>
      </c>
      <c r="AD22" s="5">
        <v>171.6352</v>
      </c>
      <c r="AE22" s="5">
        <v>181.85599999999999</v>
      </c>
      <c r="AF22" s="5">
        <f t="shared" si="11"/>
        <v>10.220799999999997</v>
      </c>
      <c r="AG22" s="5">
        <v>23.086400000000001</v>
      </c>
      <c r="AH22" s="5">
        <v>29.182400000000001</v>
      </c>
      <c r="AI22" s="5">
        <f t="shared" si="12"/>
        <v>6.0960000000000001</v>
      </c>
      <c r="AJ22" s="5">
        <v>8.1408000000000005</v>
      </c>
      <c r="AK22" s="5">
        <v>10.524800000000001</v>
      </c>
      <c r="AL22" s="5">
        <f t="shared" si="13"/>
        <v>2.3840000000000003</v>
      </c>
      <c r="AM22" s="5">
        <v>18.4192</v>
      </c>
      <c r="AN22" s="5">
        <v>24.137599999999999</v>
      </c>
      <c r="AO22" s="5">
        <f t="shared" si="14"/>
        <v>5.718399999999999</v>
      </c>
      <c r="AP22" s="5">
        <v>205.53539019963699</v>
      </c>
      <c r="AQ22" s="5">
        <v>263.61161524500903</v>
      </c>
      <c r="AR22" s="5">
        <f t="shared" si="15"/>
        <v>58.076225045372041</v>
      </c>
      <c r="AS22" s="5">
        <v>90.290381125226858</v>
      </c>
      <c r="AT22" s="5">
        <v>97.549909255898356</v>
      </c>
      <c r="AU22" s="5">
        <f t="shared" si="16"/>
        <v>7.259528130671498</v>
      </c>
      <c r="AV22" s="5">
        <v>139.29219600725952</v>
      </c>
      <c r="AW22" s="5">
        <v>178.31215970961887</v>
      </c>
      <c r="AX22" s="5">
        <f t="shared" si="17"/>
        <v>39.019963702359348</v>
      </c>
      <c r="AY22" s="5">
        <v>267915.11</v>
      </c>
      <c r="AZ22" s="5">
        <v>2792.6675</v>
      </c>
      <c r="BA22" s="5">
        <v>3102.7575000000002</v>
      </c>
      <c r="BB22" s="5">
        <v>104.605</v>
      </c>
      <c r="BC22" s="5">
        <v>117.78</v>
      </c>
      <c r="BD22" s="5">
        <v>415.23250000000002</v>
      </c>
      <c r="BE22" s="5">
        <v>332.40249999999997</v>
      </c>
      <c r="BF22" s="5">
        <v>716.89499999999998</v>
      </c>
      <c r="BG22" s="5">
        <v>147.57</v>
      </c>
      <c r="BH22" s="5">
        <v>16.914999999999999</v>
      </c>
      <c r="BI22" s="5">
        <v>20.522500000000001</v>
      </c>
      <c r="BJ22" s="5">
        <v>8521.1796720000002</v>
      </c>
      <c r="BK22" s="5">
        <v>9092.6077368510632</v>
      </c>
      <c r="BL22" s="5">
        <f t="shared" si="18"/>
        <v>571.42806485106303</v>
      </c>
      <c r="BM22" s="5">
        <v>44</v>
      </c>
      <c r="BN22" s="5">
        <v>47</v>
      </c>
      <c r="BO22" s="5">
        <v>5513.8229333333338</v>
      </c>
      <c r="BP22" s="5">
        <v>5536.7962568727271</v>
      </c>
      <c r="BQ22" s="5">
        <f t="shared" si="19"/>
        <v>22.973323539393277</v>
      </c>
      <c r="BR22" s="5">
        <v>66</v>
      </c>
      <c r="BS22" s="5">
        <v>55</v>
      </c>
      <c r="BT22" s="5">
        <f t="shared" si="21"/>
        <v>6716.7656288000007</v>
      </c>
      <c r="BU22" s="5">
        <f t="shared" si="22"/>
        <v>7175.2584094117638</v>
      </c>
      <c r="BV22" s="5">
        <f t="shared" si="20"/>
        <v>458.49278061176301</v>
      </c>
      <c r="BW22" s="5">
        <v>90.302483019550834</v>
      </c>
      <c r="BX22" s="5">
        <v>92.279963082370855</v>
      </c>
      <c r="BY22" s="5">
        <v>4.7272727272727275</v>
      </c>
      <c r="BZ22" s="5">
        <v>4.4468085106382977</v>
      </c>
      <c r="CA22" s="5">
        <v>1802.5572383076922</v>
      </c>
      <c r="CB22" s="5">
        <v>2044.7491082870813</v>
      </c>
      <c r="CC22" s="5">
        <v>70.600385672570127</v>
      </c>
      <c r="CD22" s="5">
        <v>71.737091289546456</v>
      </c>
      <c r="CE22" s="5">
        <v>16.803030303030305</v>
      </c>
      <c r="CF22" s="5">
        <v>6.0181818181818185</v>
      </c>
      <c r="CG22" s="5">
        <v>328.14455689810643</v>
      </c>
      <c r="CH22" s="5">
        <v>920.01146262235636</v>
      </c>
    </row>
    <row r="23" spans="1:86" x14ac:dyDescent="0.25">
      <c r="A23" s="3" t="s">
        <v>36</v>
      </c>
      <c r="B23" s="1" t="s">
        <v>5</v>
      </c>
      <c r="C23" s="1">
        <v>3</v>
      </c>
      <c r="D23" s="4">
        <v>18.222886970000001</v>
      </c>
      <c r="E23" s="4">
        <f t="shared" si="1"/>
        <v>20.663265306122447</v>
      </c>
      <c r="F23" s="4">
        <f t="shared" si="2"/>
        <v>23.424494649227114</v>
      </c>
      <c r="G23" s="4">
        <f t="shared" si="3"/>
        <v>2.7612293431046666</v>
      </c>
      <c r="H23" s="4">
        <v>78.400000000000006</v>
      </c>
      <c r="I23" s="4">
        <v>84.1</v>
      </c>
      <c r="J23" s="4">
        <f t="shared" si="4"/>
        <v>5.6999999999999886</v>
      </c>
      <c r="K23" s="5">
        <v>20</v>
      </c>
      <c r="L23" s="4">
        <v>59.7</v>
      </c>
      <c r="M23" s="4">
        <v>61.8</v>
      </c>
      <c r="N23" s="4">
        <f t="shared" si="5"/>
        <v>2.0999999999999943</v>
      </c>
      <c r="O23" s="4">
        <v>16.2</v>
      </c>
      <c r="P23" s="4">
        <v>19.7</v>
      </c>
      <c r="Q23" s="4">
        <f t="shared" si="6"/>
        <v>3.5</v>
      </c>
      <c r="R23" s="4">
        <v>7.8947368421052619</v>
      </c>
      <c r="S23" s="4">
        <v>8.5753176043557158</v>
      </c>
      <c r="T23" s="4">
        <f t="shared" si="7"/>
        <v>0.68058076225045383</v>
      </c>
      <c r="U23" s="4">
        <v>2.2200000000000002</v>
      </c>
      <c r="V23" s="4">
        <v>2.41</v>
      </c>
      <c r="W23" s="4">
        <f t="shared" si="8"/>
        <v>0.18999999999999995</v>
      </c>
      <c r="X23" s="4">
        <v>166.38399999999999</v>
      </c>
      <c r="Y23" s="4">
        <v>191.77440000000001</v>
      </c>
      <c r="Z23" s="4">
        <f t="shared" si="9"/>
        <v>25.390400000000028</v>
      </c>
      <c r="AA23" s="5">
        <v>79.325971730000006</v>
      </c>
      <c r="AB23" s="5">
        <v>80.006423547666401</v>
      </c>
      <c r="AC23" s="5">
        <f t="shared" si="10"/>
        <v>0.68045181766639473</v>
      </c>
      <c r="AD23" s="5">
        <v>158.46719999999999</v>
      </c>
      <c r="AE23" s="5">
        <v>180.05279999999999</v>
      </c>
      <c r="AF23" s="5">
        <f t="shared" si="11"/>
        <v>21.585599999999999</v>
      </c>
      <c r="AG23" s="5">
        <v>48.889600000000002</v>
      </c>
      <c r="AH23" s="5">
        <v>57.681600000000003</v>
      </c>
      <c r="AI23" s="5">
        <f t="shared" si="12"/>
        <v>8.7920000000000016</v>
      </c>
      <c r="AJ23" s="5">
        <v>7.9168000000000003</v>
      </c>
      <c r="AK23" s="5">
        <v>11.7216</v>
      </c>
      <c r="AL23" s="5">
        <f t="shared" si="13"/>
        <v>3.8048000000000002</v>
      </c>
      <c r="AM23" s="5">
        <v>44.201599999999999</v>
      </c>
      <c r="AN23" s="5">
        <v>52.1616</v>
      </c>
      <c r="AO23" s="5">
        <f t="shared" si="14"/>
        <v>7.9600000000000009</v>
      </c>
      <c r="AP23" s="5">
        <v>172.41379310344826</v>
      </c>
      <c r="AQ23" s="5">
        <v>226.86025408348456</v>
      </c>
      <c r="AR23" s="5">
        <f t="shared" si="15"/>
        <v>54.446460980036306</v>
      </c>
      <c r="AS23" s="5">
        <v>99.818511796733205</v>
      </c>
      <c r="AT23" s="5">
        <v>114.79128856624318</v>
      </c>
      <c r="AU23" s="5">
        <f t="shared" si="16"/>
        <v>14.972776769509977</v>
      </c>
      <c r="AV23" s="5">
        <v>115.69872958257713</v>
      </c>
      <c r="AW23" s="5">
        <v>147.45916515426495</v>
      </c>
      <c r="AX23" s="5">
        <f t="shared" si="17"/>
        <v>31.760435571687822</v>
      </c>
      <c r="AY23" s="5">
        <v>281749.13</v>
      </c>
      <c r="AZ23" s="5">
        <v>1678.37</v>
      </c>
      <c r="BA23" s="5">
        <v>2410.1802750000002</v>
      </c>
      <c r="BB23" s="5">
        <v>105.1425</v>
      </c>
      <c r="BC23" s="5">
        <v>164.16389000000001</v>
      </c>
      <c r="BD23" s="5">
        <v>134.36250000000001</v>
      </c>
      <c r="BE23" s="5">
        <v>187.58416679999999</v>
      </c>
      <c r="BF23" s="5">
        <v>80.364999999999995</v>
      </c>
      <c r="BG23" s="5">
        <v>110.4966668</v>
      </c>
      <c r="BH23" s="5">
        <v>10.0025</v>
      </c>
      <c r="BI23" s="5">
        <v>12.237500000000001</v>
      </c>
      <c r="BJ23" s="5">
        <v>5194.1864113777765</v>
      </c>
      <c r="BK23" s="5">
        <v>5840.273353939393</v>
      </c>
      <c r="BL23" s="5">
        <f t="shared" si="18"/>
        <v>646.08694256161652</v>
      </c>
      <c r="BM23" s="5">
        <v>90</v>
      </c>
      <c r="BN23" s="5">
        <v>66</v>
      </c>
      <c r="BO23" s="5">
        <v>3851.421940487804</v>
      </c>
      <c r="BP23" s="5">
        <v>4778.2473730731717</v>
      </c>
      <c r="BQ23" s="5">
        <f t="shared" si="19"/>
        <v>926.82543258536771</v>
      </c>
      <c r="BR23" s="5">
        <v>82</v>
      </c>
      <c r="BS23" s="5">
        <v>82</v>
      </c>
      <c r="BT23" s="5">
        <f t="shared" si="21"/>
        <v>4554.031256651162</v>
      </c>
      <c r="BU23" s="5">
        <f t="shared" si="22"/>
        <v>5251.8535537297294</v>
      </c>
      <c r="BV23" s="5">
        <f t="shared" si="20"/>
        <v>697.82229707856732</v>
      </c>
      <c r="BW23" s="5">
        <v>68.974153987624206</v>
      </c>
      <c r="BX23" s="5">
        <v>76.311184024227899</v>
      </c>
      <c r="BY23" s="5">
        <v>0.6333333333333333</v>
      </c>
      <c r="BZ23" s="5">
        <v>0.48484848484848486</v>
      </c>
      <c r="CA23" s="5">
        <v>8201.3469653333323</v>
      </c>
      <c r="CB23" s="5">
        <v>12045.563792499997</v>
      </c>
      <c r="CC23" s="5">
        <v>59.44834811672235</v>
      </c>
      <c r="CD23" s="5">
        <v>69.524007545124149</v>
      </c>
      <c r="CE23" s="5">
        <v>0.40243902439024393</v>
      </c>
      <c r="CF23" s="5">
        <v>0.59756097560975607</v>
      </c>
      <c r="CG23" s="5">
        <v>9570.1999733333305</v>
      </c>
      <c r="CH23" s="5">
        <v>7996.2507059591853</v>
      </c>
    </row>
    <row r="24" spans="1:86" x14ac:dyDescent="0.25">
      <c r="A24" s="3" t="s">
        <v>19</v>
      </c>
      <c r="B24" s="1" t="s">
        <v>5</v>
      </c>
      <c r="C24" s="1">
        <v>3</v>
      </c>
      <c r="D24" s="4">
        <v>18.823529409999999</v>
      </c>
      <c r="E24" s="4">
        <f t="shared" si="1"/>
        <v>25.584415584415581</v>
      </c>
      <c r="F24" s="4">
        <f t="shared" si="2"/>
        <v>25.995024875621887</v>
      </c>
      <c r="G24" s="4">
        <f t="shared" si="3"/>
        <v>0.41060929120630618</v>
      </c>
      <c r="H24" s="4">
        <v>77</v>
      </c>
      <c r="I24" s="4">
        <v>80.400000000000006</v>
      </c>
      <c r="J24" s="4">
        <f t="shared" si="4"/>
        <v>3.4000000000000057</v>
      </c>
      <c r="K24" s="5">
        <v>20</v>
      </c>
      <c r="L24" s="4">
        <v>54.4</v>
      </c>
      <c r="M24" s="4">
        <v>56.7</v>
      </c>
      <c r="N24" s="4">
        <f t="shared" si="5"/>
        <v>2.3000000000000043</v>
      </c>
      <c r="O24" s="4">
        <v>19.7</v>
      </c>
      <c r="P24" s="4">
        <v>20.9</v>
      </c>
      <c r="Q24" s="4">
        <f t="shared" si="6"/>
        <v>1.1999999999999993</v>
      </c>
      <c r="R24" s="4">
        <v>7.4410163339382924</v>
      </c>
      <c r="S24" s="4">
        <v>7.8039927404718687</v>
      </c>
      <c r="T24" s="4">
        <f t="shared" si="7"/>
        <v>0.36297640653357632</v>
      </c>
      <c r="U24" s="4">
        <v>2.34</v>
      </c>
      <c r="V24" s="4">
        <v>2.6</v>
      </c>
      <c r="W24" s="4">
        <f t="shared" si="8"/>
        <v>0.26000000000000023</v>
      </c>
      <c r="X24" s="4">
        <v>156.00960000000001</v>
      </c>
      <c r="Y24" s="4">
        <v>176.9776</v>
      </c>
      <c r="Z24" s="4">
        <f t="shared" si="9"/>
        <v>20.967999999999989</v>
      </c>
      <c r="AA24" s="5">
        <v>76.598688980000006</v>
      </c>
      <c r="AB24" s="5">
        <v>78.502830857687997</v>
      </c>
      <c r="AC24" s="5">
        <f t="shared" si="10"/>
        <v>1.9041418776879908</v>
      </c>
      <c r="AD24" s="5">
        <v>145.6096</v>
      </c>
      <c r="AE24" s="5">
        <v>165.28800000000001</v>
      </c>
      <c r="AF24" s="5">
        <f t="shared" si="11"/>
        <v>19.678400000000011</v>
      </c>
      <c r="AG24" s="5">
        <v>55.907200000000003</v>
      </c>
      <c r="AH24" s="5">
        <v>57.630400000000002</v>
      </c>
      <c r="AI24" s="5">
        <f t="shared" si="12"/>
        <v>1.7231999999999985</v>
      </c>
      <c r="AJ24" s="5">
        <v>10.4</v>
      </c>
      <c r="AK24" s="5">
        <v>11.6896</v>
      </c>
      <c r="AL24" s="5">
        <f t="shared" si="13"/>
        <v>1.2896000000000001</v>
      </c>
      <c r="AM24" s="5">
        <v>50.657600000000002</v>
      </c>
      <c r="AN24" s="5">
        <v>52.36</v>
      </c>
      <c r="AO24" s="5">
        <f t="shared" si="14"/>
        <v>1.7023999999999972</v>
      </c>
      <c r="AP24" s="5">
        <v>219.60072595281304</v>
      </c>
      <c r="AQ24" s="5">
        <v>329.40108892921955</v>
      </c>
      <c r="AR24" s="5">
        <f t="shared" si="15"/>
        <v>109.80036297640652</v>
      </c>
      <c r="AS24" s="5">
        <v>64.42831215970962</v>
      </c>
      <c r="AT24" s="5">
        <v>80.308529945553531</v>
      </c>
      <c r="AU24" s="5">
        <f t="shared" si="16"/>
        <v>15.880217785843911</v>
      </c>
      <c r="AV24" s="5">
        <v>111.16152450090743</v>
      </c>
      <c r="AW24" s="5">
        <v>161.07078039927404</v>
      </c>
      <c r="AX24" s="5">
        <f t="shared" si="17"/>
        <v>49.909255898366609</v>
      </c>
      <c r="AY24" s="5">
        <v>253228.17</v>
      </c>
      <c r="AZ24" s="5">
        <v>1950.24</v>
      </c>
      <c r="BA24" s="5">
        <v>2188.5952750000001</v>
      </c>
      <c r="BB24" s="5">
        <v>110.58499999999999</v>
      </c>
      <c r="BC24" s="5">
        <v>113.24139</v>
      </c>
      <c r="BD24" s="5">
        <v>179.79750000000001</v>
      </c>
      <c r="BE24" s="5">
        <v>197.50166680000001</v>
      </c>
      <c r="BF24" s="5">
        <v>781.98</v>
      </c>
      <c r="BG24" s="5">
        <v>93.236666749999998</v>
      </c>
      <c r="BH24" s="5">
        <v>8.32</v>
      </c>
      <c r="BI24" s="5">
        <v>8.8825000000000003</v>
      </c>
      <c r="BJ24" s="5">
        <v>7307.8012037142844</v>
      </c>
      <c r="BK24" s="5">
        <v>6703.9699377230772</v>
      </c>
      <c r="BL24" s="5">
        <f t="shared" si="18"/>
        <v>-603.83126599120715</v>
      </c>
      <c r="BM24" s="5">
        <v>56</v>
      </c>
      <c r="BN24" s="5">
        <v>65</v>
      </c>
      <c r="BO24" s="5">
        <v>6632.3855519999979</v>
      </c>
      <c r="BP24" s="5">
        <v>6704.8368474181798</v>
      </c>
      <c r="BQ24" s="5">
        <f t="shared" si="19"/>
        <v>72.451295418181871</v>
      </c>
      <c r="BR24" s="5">
        <v>46</v>
      </c>
      <c r="BS24" s="5">
        <v>55</v>
      </c>
      <c r="BT24" s="5">
        <f t="shared" si="21"/>
        <v>7003.2019882352915</v>
      </c>
      <c r="BU24" s="5">
        <f t="shared" si="22"/>
        <v>6704.3672713333326</v>
      </c>
      <c r="BV24" s="5">
        <f t="shared" si="20"/>
        <v>-298.83471690195893</v>
      </c>
      <c r="BW24" s="5">
        <v>75.206994920340122</v>
      </c>
      <c r="BX24" s="5">
        <v>78.947591984576235</v>
      </c>
      <c r="BY24" s="5">
        <v>5.3571428571428568E-2</v>
      </c>
      <c r="BZ24" s="5">
        <v>0.30769230769230771</v>
      </c>
      <c r="CA24" s="5">
        <v>136412.28913599998</v>
      </c>
      <c r="CB24" s="5">
        <v>21787.902297600001</v>
      </c>
      <c r="CC24" s="5">
        <v>72.330349748714426</v>
      </c>
      <c r="CD24" s="5">
        <v>77.764227868130234</v>
      </c>
      <c r="CE24" s="5">
        <v>0.10869565217391304</v>
      </c>
      <c r="CF24" s="5">
        <v>0.21818181818181817</v>
      </c>
      <c r="CG24" s="5">
        <v>61017.947078399986</v>
      </c>
      <c r="CH24" s="5">
        <v>30730.502217333327</v>
      </c>
    </row>
    <row r="25" spans="1:86" x14ac:dyDescent="0.25">
      <c r="A25" s="3" t="s">
        <v>20</v>
      </c>
      <c r="B25" s="1" t="s">
        <v>5</v>
      </c>
      <c r="C25" s="1">
        <v>3</v>
      </c>
      <c r="D25" s="4">
        <v>16.701095899999999</v>
      </c>
      <c r="E25" s="4">
        <f t="shared" si="1"/>
        <v>19.421189694999043</v>
      </c>
      <c r="F25" s="4">
        <f t="shared" si="2"/>
        <v>24.034334763948497</v>
      </c>
      <c r="G25" s="4">
        <f t="shared" si="3"/>
        <v>4.6131450689494535</v>
      </c>
      <c r="H25" s="4">
        <v>67.966999999999999</v>
      </c>
      <c r="I25" s="4">
        <v>69.900000000000006</v>
      </c>
      <c r="J25" s="4">
        <f t="shared" si="4"/>
        <v>1.9330000000000069</v>
      </c>
      <c r="K25" s="5">
        <v>19</v>
      </c>
      <c r="L25" s="4">
        <v>47.7</v>
      </c>
      <c r="M25" s="4">
        <v>50.7</v>
      </c>
      <c r="N25" s="4">
        <f t="shared" si="5"/>
        <v>3</v>
      </c>
      <c r="O25" s="4">
        <v>13.2</v>
      </c>
      <c r="P25" s="4">
        <v>16.8</v>
      </c>
      <c r="Q25" s="4">
        <f t="shared" si="6"/>
        <v>3.6000000000000014</v>
      </c>
      <c r="R25" s="4">
        <v>5.8393829401088917</v>
      </c>
      <c r="S25" s="4">
        <v>6.3067150635208709</v>
      </c>
      <c r="T25" s="4">
        <f t="shared" si="7"/>
        <v>0.46733212341197916</v>
      </c>
      <c r="U25" s="4">
        <v>1.02</v>
      </c>
      <c r="V25" s="4">
        <v>1.08</v>
      </c>
      <c r="W25" s="4">
        <f t="shared" si="8"/>
        <v>6.0000000000000053E-2</v>
      </c>
      <c r="X25" s="4">
        <v>122.416</v>
      </c>
      <c r="Y25" s="4">
        <v>135.63200000000001</v>
      </c>
      <c r="Z25" s="4">
        <f t="shared" si="9"/>
        <v>13.216000000000008</v>
      </c>
      <c r="AA25" s="5">
        <v>77.451233299999998</v>
      </c>
      <c r="AB25" s="5">
        <v>78.668211065237202</v>
      </c>
      <c r="AC25" s="5">
        <f t="shared" si="10"/>
        <v>1.2169777652372034</v>
      </c>
      <c r="AD25" s="5">
        <v>116.5728</v>
      </c>
      <c r="AE25" s="5">
        <v>127.48480000000001</v>
      </c>
      <c r="AF25" s="5">
        <f t="shared" si="11"/>
        <v>10.912000000000006</v>
      </c>
      <c r="AG25" s="5">
        <v>56.529600000000002</v>
      </c>
      <c r="AH25" s="5">
        <v>55.806399999999996</v>
      </c>
      <c r="AI25" s="5">
        <f t="shared" si="12"/>
        <v>-0.72320000000000562</v>
      </c>
      <c r="AJ25" s="5">
        <v>5.8432000000000004</v>
      </c>
      <c r="AK25" s="5">
        <v>8.1471999999999998</v>
      </c>
      <c r="AL25" s="5">
        <f t="shared" si="13"/>
        <v>2.3039999999999994</v>
      </c>
      <c r="AM25" s="5">
        <v>52.572800000000001</v>
      </c>
      <c r="AN25" s="5">
        <v>51.392000000000003</v>
      </c>
      <c r="AO25" s="5">
        <f t="shared" si="14"/>
        <v>-1.1807999999999979</v>
      </c>
      <c r="AP25" s="5">
        <v>99.818511796733205</v>
      </c>
      <c r="AQ25" s="5">
        <v>214.60980036297639</v>
      </c>
      <c r="AR25" s="5">
        <f t="shared" si="15"/>
        <v>114.79128856624318</v>
      </c>
      <c r="AS25" s="5">
        <v>40.834845735027223</v>
      </c>
      <c r="AT25" s="5">
        <v>47.640653357531754</v>
      </c>
      <c r="AU25" s="5">
        <f t="shared" si="16"/>
        <v>6.8058076225045312</v>
      </c>
      <c r="AV25" s="5">
        <v>99.818511796733205</v>
      </c>
      <c r="AW25" s="5">
        <v>139.29219600725952</v>
      </c>
      <c r="AX25" s="5">
        <f t="shared" si="17"/>
        <v>39.473684210526315</v>
      </c>
      <c r="AY25" s="5">
        <v>177180.01</v>
      </c>
      <c r="AZ25" s="5">
        <v>4370.34</v>
      </c>
      <c r="BA25" s="5">
        <v>2687.130275</v>
      </c>
      <c r="BB25" s="5">
        <v>211.64750000000001</v>
      </c>
      <c r="BC25" s="5">
        <v>125.35889</v>
      </c>
      <c r="BD25" s="5">
        <v>451.39749999999998</v>
      </c>
      <c r="BE25" s="5">
        <v>301.5791668</v>
      </c>
      <c r="BF25" s="5">
        <v>1817.5174999999999</v>
      </c>
      <c r="BG25" s="5">
        <v>105.3066668</v>
      </c>
      <c r="BH25" s="5">
        <v>19.422499999999999</v>
      </c>
      <c r="BI25" s="5">
        <v>13.6275</v>
      </c>
      <c r="BJ25" s="5">
        <v>3731.1843774426238</v>
      </c>
      <c r="BK25" s="5">
        <v>4189.3170568727273</v>
      </c>
      <c r="BL25" s="5">
        <f t="shared" si="18"/>
        <v>458.13267943010351</v>
      </c>
      <c r="BM25" s="5">
        <v>122</v>
      </c>
      <c r="BN25" s="5">
        <v>110</v>
      </c>
      <c r="BO25" s="5">
        <v>4631.7274260000004</v>
      </c>
      <c r="BP25" s="5">
        <v>4814.2097762807007</v>
      </c>
      <c r="BQ25" s="5">
        <f t="shared" si="19"/>
        <v>182.4823502807003</v>
      </c>
      <c r="BR25" s="5">
        <v>48</v>
      </c>
      <c r="BS25" s="5">
        <v>57</v>
      </c>
      <c r="BT25" s="5">
        <f t="shared" si="21"/>
        <v>3985.4553558588241</v>
      </c>
      <c r="BU25" s="5">
        <f t="shared" si="22"/>
        <v>4402.6037934371252</v>
      </c>
      <c r="BV25" s="5">
        <f t="shared" si="20"/>
        <v>417.14843757830113</v>
      </c>
      <c r="BW25" s="5">
        <v>58.940924007028272</v>
      </c>
      <c r="BX25" s="5">
        <v>64.974876398900435</v>
      </c>
      <c r="BY25" s="5">
        <v>0.37704918032786883</v>
      </c>
      <c r="BZ25" s="5">
        <v>3.0545454545454547</v>
      </c>
      <c r="CA25" s="5">
        <v>9895.749870608699</v>
      </c>
      <c r="CB25" s="5">
        <v>1371.5026079047618</v>
      </c>
      <c r="CC25" s="5">
        <v>66.151676945875394</v>
      </c>
      <c r="CD25" s="5">
        <v>69.580127329283414</v>
      </c>
      <c r="CE25" s="5">
        <v>0.47916666666666669</v>
      </c>
      <c r="CF25" s="5">
        <v>3.2280701754385963</v>
      </c>
      <c r="CG25" s="5">
        <v>9666.2137586086956</v>
      </c>
      <c r="CH25" s="5">
        <v>1491.3584633043477</v>
      </c>
    </row>
    <row r="26" spans="1:86" x14ac:dyDescent="0.25">
      <c r="A26" s="3" t="s">
        <v>37</v>
      </c>
      <c r="B26" s="1" t="s">
        <v>5</v>
      </c>
      <c r="C26" s="1">
        <v>3</v>
      </c>
      <c r="D26" s="4">
        <v>17.683340879999999</v>
      </c>
      <c r="E26" s="4">
        <f t="shared" si="1"/>
        <v>27.222040013119052</v>
      </c>
      <c r="F26" s="4">
        <f t="shared" si="2"/>
        <v>24.617067833698027</v>
      </c>
      <c r="G26" s="4">
        <f t="shared" si="3"/>
        <v>-2.6049721794210257</v>
      </c>
      <c r="H26" s="4">
        <v>91.47</v>
      </c>
      <c r="I26" s="4">
        <v>91.4</v>
      </c>
      <c r="J26" s="4">
        <f t="shared" si="4"/>
        <v>-6.9999999999993179E-2</v>
      </c>
      <c r="K26" s="5">
        <v>21</v>
      </c>
      <c r="L26" s="4">
        <v>62.5</v>
      </c>
      <c r="M26" s="4">
        <v>65.599999999999994</v>
      </c>
      <c r="N26" s="4">
        <f t="shared" si="5"/>
        <v>3.0999999999999943</v>
      </c>
      <c r="O26" s="4">
        <v>24.9</v>
      </c>
      <c r="P26" s="4">
        <v>22.5</v>
      </c>
      <c r="Q26" s="4">
        <f t="shared" si="6"/>
        <v>-2.3999999999999986</v>
      </c>
      <c r="R26" s="4">
        <v>8.8021778584391992</v>
      </c>
      <c r="S26" s="4">
        <v>9.3466424682395637</v>
      </c>
      <c r="T26" s="4">
        <f t="shared" si="7"/>
        <v>0.54446460980036449</v>
      </c>
      <c r="U26" s="4">
        <v>1.55</v>
      </c>
      <c r="V26" s="4">
        <v>2.16</v>
      </c>
      <c r="W26" s="4">
        <f t="shared" si="8"/>
        <v>0.6100000000000001</v>
      </c>
      <c r="X26" s="4">
        <v>167.47200000000001</v>
      </c>
      <c r="Y26" s="4">
        <v>185.464</v>
      </c>
      <c r="Z26" s="4">
        <f t="shared" si="9"/>
        <v>17.99199999999999</v>
      </c>
      <c r="AA26" s="5">
        <v>78.978928400000001</v>
      </c>
      <c r="AB26" s="5">
        <v>79.535250450756493</v>
      </c>
      <c r="AC26" s="5">
        <f t="shared" si="10"/>
        <v>0.5563220507564921</v>
      </c>
      <c r="AD26" s="5">
        <v>158.08000000000001</v>
      </c>
      <c r="AE26" s="5">
        <v>174.304</v>
      </c>
      <c r="AF26" s="5">
        <f t="shared" si="11"/>
        <v>16.22399999999999</v>
      </c>
      <c r="AG26" s="5">
        <v>58.6</v>
      </c>
      <c r="AH26" s="5">
        <v>54.126399999999997</v>
      </c>
      <c r="AI26" s="5">
        <f t="shared" si="12"/>
        <v>-4.4736000000000047</v>
      </c>
      <c r="AJ26" s="5">
        <v>9.3919999999999995</v>
      </c>
      <c r="AK26" s="5">
        <v>11.16</v>
      </c>
      <c r="AL26" s="5">
        <f t="shared" si="13"/>
        <v>1.7680000000000007</v>
      </c>
      <c r="AM26" s="5">
        <v>53.275199999999998</v>
      </c>
      <c r="AN26" s="5">
        <v>48.769599999999997</v>
      </c>
      <c r="AO26" s="5">
        <f t="shared" si="14"/>
        <v>-4.5056000000000012</v>
      </c>
      <c r="AP26" s="5">
        <v>156.07985480943736</v>
      </c>
      <c r="AQ26" s="5">
        <v>281.76043557168782</v>
      </c>
      <c r="AR26" s="5">
        <f t="shared" si="15"/>
        <v>125.68058076225046</v>
      </c>
      <c r="AS26" s="5">
        <v>62.159709618874771</v>
      </c>
      <c r="AT26" s="5">
        <v>65.78947368421052</v>
      </c>
      <c r="AU26" s="5">
        <f t="shared" si="16"/>
        <v>3.629764065335749</v>
      </c>
      <c r="AV26" s="5">
        <v>97.549909255898356</v>
      </c>
      <c r="AW26" s="5">
        <v>141.10707803992739</v>
      </c>
      <c r="AX26" s="5">
        <f t="shared" si="17"/>
        <v>43.557168784029031</v>
      </c>
      <c r="AY26" s="5">
        <v>203512.41</v>
      </c>
      <c r="AZ26" s="5">
        <v>1663.98</v>
      </c>
      <c r="BA26" s="5">
        <v>1430.985275</v>
      </c>
      <c r="BB26" s="5">
        <v>66.534999999999997</v>
      </c>
      <c r="BC26" s="5">
        <v>81.47139</v>
      </c>
      <c r="BD26" s="5">
        <v>184.565</v>
      </c>
      <c r="BE26" s="5">
        <v>116.2766668</v>
      </c>
      <c r="BF26" s="5">
        <v>656.20249999999999</v>
      </c>
      <c r="BG26" s="5">
        <v>66.786666749999995</v>
      </c>
      <c r="BH26" s="5">
        <v>13.977499999999999</v>
      </c>
      <c r="BI26" s="5">
        <v>5.4375</v>
      </c>
      <c r="BJ26" s="5">
        <v>6220.8587047441843</v>
      </c>
      <c r="BK26" s="5">
        <v>6454.5566815652182</v>
      </c>
      <c r="BL26" s="5">
        <f t="shared" si="18"/>
        <v>233.69797682103399</v>
      </c>
      <c r="BM26" s="5">
        <v>86</v>
      </c>
      <c r="BN26" s="5">
        <v>92</v>
      </c>
      <c r="BO26" s="5">
        <v>4835.6382007999991</v>
      </c>
      <c r="BP26" s="5">
        <v>4939.0533573333332</v>
      </c>
      <c r="BQ26" s="5">
        <f t="shared" si="19"/>
        <v>103.41515653333408</v>
      </c>
      <c r="BR26" s="5">
        <v>40</v>
      </c>
      <c r="BS26" s="5">
        <v>30</v>
      </c>
      <c r="BT26" s="5">
        <f t="shared" si="21"/>
        <v>5781.1061638095225</v>
      </c>
      <c r="BU26" s="5">
        <f t="shared" si="22"/>
        <v>6081.8919297049179</v>
      </c>
      <c r="BV26" s="5">
        <f t="shared" si="20"/>
        <v>300.78576589539534</v>
      </c>
      <c r="BW26" s="5">
        <v>72.590991919685479</v>
      </c>
      <c r="BX26" s="5">
        <v>76.195371808735302</v>
      </c>
      <c r="BY26" s="5">
        <v>0.7558139534883721</v>
      </c>
      <c r="BZ26" s="5">
        <v>0.70652173913043481</v>
      </c>
      <c r="CA26" s="5">
        <v>8230.6745939692282</v>
      </c>
      <c r="CB26" s="5">
        <v>9135.6802262153851</v>
      </c>
      <c r="CC26" s="5">
        <v>64.123324036684309</v>
      </c>
      <c r="CD26" s="5">
        <v>66.145207240537204</v>
      </c>
      <c r="CE26" s="5">
        <v>0.57499999999999996</v>
      </c>
      <c r="CF26" s="5">
        <v>0.46666666666666667</v>
      </c>
      <c r="CG26" s="5">
        <v>8409.8055666086948</v>
      </c>
      <c r="CH26" s="5">
        <v>10583.685765714285</v>
      </c>
    </row>
    <row r="27" spans="1:86" x14ac:dyDescent="0.25">
      <c r="A27" s="3" t="s">
        <v>21</v>
      </c>
      <c r="B27" s="1" t="s">
        <v>5</v>
      </c>
      <c r="C27" s="1">
        <v>3</v>
      </c>
      <c r="D27" s="4">
        <v>17.56026297</v>
      </c>
      <c r="E27" s="4">
        <f t="shared" si="1"/>
        <v>17.723156532988359</v>
      </c>
      <c r="F27" s="4">
        <f t="shared" si="2"/>
        <v>18.280871670702183</v>
      </c>
      <c r="G27" s="4">
        <f t="shared" si="3"/>
        <v>0.5577151377138243</v>
      </c>
      <c r="H27" s="4">
        <v>77.3</v>
      </c>
      <c r="I27" s="4">
        <v>82.6</v>
      </c>
      <c r="J27" s="4">
        <f t="shared" si="4"/>
        <v>5.2999999999999972</v>
      </c>
      <c r="K27" s="5">
        <v>26</v>
      </c>
      <c r="L27" s="4">
        <v>60.1</v>
      </c>
      <c r="M27" s="4">
        <v>64.8</v>
      </c>
      <c r="N27" s="4">
        <f t="shared" si="5"/>
        <v>4.6999999999999957</v>
      </c>
      <c r="O27" s="4">
        <v>13.7</v>
      </c>
      <c r="P27" s="4">
        <v>15.1</v>
      </c>
      <c r="Q27" s="4">
        <f t="shared" si="6"/>
        <v>1.4000000000000004</v>
      </c>
      <c r="R27" s="4">
        <v>7.259528130671506</v>
      </c>
      <c r="S27" s="4">
        <v>7.9854809437386569</v>
      </c>
      <c r="T27" s="4">
        <f t="shared" si="7"/>
        <v>0.72595281306715087</v>
      </c>
      <c r="U27" s="4">
        <v>1.36</v>
      </c>
      <c r="V27" s="4">
        <v>1.88</v>
      </c>
      <c r="W27" s="4">
        <f t="shared" si="8"/>
        <v>0.5199999999999998</v>
      </c>
      <c r="X27" s="4">
        <v>127.16</v>
      </c>
      <c r="Y27" s="4">
        <v>155.16800000000001</v>
      </c>
      <c r="Z27" s="4">
        <f t="shared" si="9"/>
        <v>28.00800000000001</v>
      </c>
      <c r="AA27" s="5">
        <v>78.51493275</v>
      </c>
      <c r="AB27" s="5">
        <v>79.775675149515195</v>
      </c>
      <c r="AC27" s="5">
        <f t="shared" si="10"/>
        <v>1.2607423995151947</v>
      </c>
      <c r="AD27" s="5">
        <v>123.93600000000001</v>
      </c>
      <c r="AE27" s="5">
        <v>149.4528</v>
      </c>
      <c r="AF27" s="5">
        <f t="shared" si="11"/>
        <v>25.516799999999989</v>
      </c>
      <c r="AG27" s="5">
        <v>46.020800000000001</v>
      </c>
      <c r="AH27" s="5">
        <v>46.48</v>
      </c>
      <c r="AI27" s="5">
        <f t="shared" si="12"/>
        <v>0.45919999999999561</v>
      </c>
      <c r="AJ27" s="5">
        <v>3.2240000000000002</v>
      </c>
      <c r="AK27" s="5">
        <v>5.7152000000000003</v>
      </c>
      <c r="AL27" s="5">
        <f t="shared" si="13"/>
        <v>2.4912000000000001</v>
      </c>
      <c r="AM27" s="5">
        <v>42.1648</v>
      </c>
      <c r="AN27" s="5">
        <v>42.059199999999997</v>
      </c>
      <c r="AO27" s="5">
        <f t="shared" si="14"/>
        <v>-0.10560000000000258</v>
      </c>
      <c r="AP27" s="5">
        <v>131.57894736842104</v>
      </c>
      <c r="AQ27" s="5">
        <v>187.84029038112521</v>
      </c>
      <c r="AR27" s="5">
        <f t="shared" si="15"/>
        <v>56.261343012704174</v>
      </c>
      <c r="AS27" s="5">
        <v>73.956442831215966</v>
      </c>
      <c r="AT27" s="5">
        <v>79.854809437386564</v>
      </c>
      <c r="AU27" s="5">
        <f t="shared" si="16"/>
        <v>5.8983666061705975</v>
      </c>
      <c r="AV27" s="5">
        <v>97.549909255898356</v>
      </c>
      <c r="AW27" s="5">
        <v>131.12522686025406</v>
      </c>
      <c r="AX27" s="5">
        <f t="shared" si="17"/>
        <v>33.575317604355703</v>
      </c>
      <c r="AY27" s="5">
        <v>195272.22</v>
      </c>
      <c r="AZ27" s="5">
        <v>1706.42</v>
      </c>
      <c r="BA27" s="5">
        <v>4315.4752749999998</v>
      </c>
      <c r="BB27" s="5">
        <v>50.982500000000002</v>
      </c>
      <c r="BC27" s="5">
        <v>178.04889</v>
      </c>
      <c r="BD27" s="5">
        <v>197.95249999999999</v>
      </c>
      <c r="BE27" s="5">
        <v>260.55166680000002</v>
      </c>
      <c r="BF27" s="5">
        <v>756.29750000000001</v>
      </c>
      <c r="BG27" s="5">
        <v>306.58916679999999</v>
      </c>
      <c r="BH27" s="5">
        <v>14.195</v>
      </c>
      <c r="BI27" s="5">
        <v>60.67</v>
      </c>
      <c r="BJ27" s="5">
        <v>3677.1841585035977</v>
      </c>
      <c r="BK27" s="5">
        <v>4841.109430999998</v>
      </c>
      <c r="BL27" s="5">
        <f t="shared" si="18"/>
        <v>1163.9252724964003</v>
      </c>
      <c r="BM27" s="5">
        <v>139</v>
      </c>
      <c r="BN27" s="5">
        <v>128</v>
      </c>
      <c r="BO27" s="5">
        <v>2889.9943980000007</v>
      </c>
      <c r="BP27" s="5">
        <v>3520.1732479999996</v>
      </c>
      <c r="BQ27" s="5">
        <f t="shared" si="19"/>
        <v>630.17884999999887</v>
      </c>
      <c r="BR27" s="5">
        <v>48</v>
      </c>
      <c r="BS27" s="5">
        <v>37</v>
      </c>
      <c r="BT27" s="5">
        <f t="shared" si="21"/>
        <v>3475.1247547379685</v>
      </c>
      <c r="BU27" s="5">
        <f t="shared" si="22"/>
        <v>4544.8994990545434</v>
      </c>
      <c r="BV27" s="5">
        <f t="shared" si="20"/>
        <v>1069.7747443165749</v>
      </c>
      <c r="BW27" s="5">
        <v>55.526753901802977</v>
      </c>
      <c r="BX27" s="5">
        <v>64.716148869523792</v>
      </c>
      <c r="BY27" s="5">
        <v>0.34532374100719426</v>
      </c>
      <c r="BZ27" s="5">
        <v>0.421875</v>
      </c>
      <c r="CA27" s="5">
        <v>10648.512459000001</v>
      </c>
      <c r="CB27" s="5">
        <v>11475.222354962958</v>
      </c>
      <c r="CC27" s="5">
        <v>48.847094986193675</v>
      </c>
      <c r="CD27" s="5">
        <v>55.285705946299117</v>
      </c>
      <c r="CE27" s="5">
        <v>0.35416666666666669</v>
      </c>
      <c r="CF27" s="5">
        <v>1</v>
      </c>
      <c r="CG27" s="5">
        <v>8159.9841825882368</v>
      </c>
      <c r="CH27" s="5">
        <v>3520.1732479999996</v>
      </c>
    </row>
    <row r="28" spans="1:86" x14ac:dyDescent="0.25">
      <c r="A28" s="3" t="s">
        <v>22</v>
      </c>
      <c r="B28" s="1" t="s">
        <v>4</v>
      </c>
      <c r="C28" s="1">
        <v>2</v>
      </c>
      <c r="D28" s="4">
        <v>18.6122449</v>
      </c>
      <c r="E28" s="4">
        <f t="shared" si="1"/>
        <v>29.274004683840747</v>
      </c>
      <c r="F28" s="4">
        <f t="shared" si="2"/>
        <v>28.285077951002226</v>
      </c>
      <c r="G28" s="4">
        <f t="shared" si="3"/>
        <v>-0.98892673283852162</v>
      </c>
      <c r="H28" s="4">
        <v>85.4</v>
      </c>
      <c r="I28" s="4">
        <v>89.8</v>
      </c>
      <c r="J28" s="4">
        <f t="shared" si="4"/>
        <v>4.3999999999999915</v>
      </c>
      <c r="K28" s="5">
        <v>20</v>
      </c>
      <c r="L28" s="4">
        <v>57</v>
      </c>
      <c r="M28" s="4">
        <v>61.7</v>
      </c>
      <c r="N28" s="4">
        <f t="shared" si="5"/>
        <v>4.7000000000000028</v>
      </c>
      <c r="O28" s="4">
        <v>25</v>
      </c>
      <c r="P28" s="4">
        <v>25.4</v>
      </c>
      <c r="Q28" s="4">
        <f t="shared" si="6"/>
        <v>0.39999999999999858</v>
      </c>
      <c r="R28" s="4">
        <v>7.3956442831215972</v>
      </c>
      <c r="S28" s="4">
        <v>8.0308529945553531</v>
      </c>
      <c r="T28" s="4">
        <f t="shared" si="7"/>
        <v>0.6352087114337559</v>
      </c>
      <c r="U28" s="4">
        <v>1.57</v>
      </c>
      <c r="V28" s="4">
        <v>2.39</v>
      </c>
      <c r="W28" s="4">
        <f t="shared" si="8"/>
        <v>0.82000000000000006</v>
      </c>
      <c r="X28" s="4">
        <v>141.7936</v>
      </c>
      <c r="Y28" s="4">
        <v>170.54560000000001</v>
      </c>
      <c r="Z28" s="4">
        <f t="shared" si="9"/>
        <v>28.75200000000001</v>
      </c>
      <c r="AA28" s="5">
        <v>75.941310389999998</v>
      </c>
      <c r="AB28" s="5">
        <v>78.673911230778998</v>
      </c>
      <c r="AC28" s="5">
        <f t="shared" si="10"/>
        <v>2.7326008407789999</v>
      </c>
      <c r="AD28" s="5">
        <v>131.12479999999999</v>
      </c>
      <c r="AE28" s="5">
        <v>156.68960000000001</v>
      </c>
      <c r="AF28" s="5">
        <f t="shared" si="11"/>
        <v>25.56480000000002</v>
      </c>
      <c r="AG28" s="5">
        <v>62.563200000000002</v>
      </c>
      <c r="AH28" s="5">
        <v>67.055999999999997</v>
      </c>
      <c r="AI28" s="5">
        <f t="shared" si="12"/>
        <v>4.4927999999999955</v>
      </c>
      <c r="AJ28" s="5">
        <v>10.668799999999999</v>
      </c>
      <c r="AK28" s="5">
        <v>13.856</v>
      </c>
      <c r="AL28" s="5">
        <f t="shared" si="13"/>
        <v>3.1872000000000007</v>
      </c>
      <c r="AM28" s="5">
        <v>57.859200000000001</v>
      </c>
      <c r="AN28" s="5">
        <v>61.3232</v>
      </c>
      <c r="AO28" s="5">
        <f t="shared" si="14"/>
        <v>3.4639999999999986</v>
      </c>
      <c r="AP28" s="5">
        <v>244.10163339382939</v>
      </c>
      <c r="AQ28" s="5">
        <v>343.92014519056261</v>
      </c>
      <c r="AR28" s="5">
        <f t="shared" si="15"/>
        <v>99.818511796733219</v>
      </c>
      <c r="AS28" s="5">
        <v>77.132486388384748</v>
      </c>
      <c r="AT28" s="5">
        <v>104.3557168784029</v>
      </c>
      <c r="AU28" s="5">
        <f t="shared" si="16"/>
        <v>27.223230490018153</v>
      </c>
      <c r="AV28" s="5">
        <v>139.29219600725952</v>
      </c>
      <c r="AW28" s="5">
        <v>179.2196007259528</v>
      </c>
      <c r="AX28" s="5">
        <f t="shared" si="17"/>
        <v>39.927404718693282</v>
      </c>
      <c r="AY28" s="5">
        <v>280124.76</v>
      </c>
      <c r="AZ28" s="5">
        <v>1464.9</v>
      </c>
      <c r="BA28" s="5">
        <v>2037.6025</v>
      </c>
      <c r="BB28" s="5">
        <v>78.583333330000002</v>
      </c>
      <c r="BC28" s="5">
        <v>80.517499999999998</v>
      </c>
      <c r="BD28" s="5">
        <v>92.826666669999994</v>
      </c>
      <c r="BE28" s="5">
        <v>195.42750000000001</v>
      </c>
      <c r="BF28" s="5">
        <v>772.09333330000004</v>
      </c>
      <c r="BG28" s="5">
        <v>104.72750000000001</v>
      </c>
      <c r="BH28" s="5">
        <v>4.5533333330000003</v>
      </c>
      <c r="BI28" s="5">
        <v>7.2675000000000001</v>
      </c>
      <c r="BJ28" s="5">
        <v>4839.9505767619057</v>
      </c>
      <c r="BK28" s="5">
        <v>5416.7234153846148</v>
      </c>
      <c r="BL28" s="5">
        <f t="shared" si="18"/>
        <v>576.77283862270906</v>
      </c>
      <c r="BM28" s="5">
        <v>105</v>
      </c>
      <c r="BN28" s="5">
        <v>78</v>
      </c>
      <c r="BO28" s="5">
        <v>3881.8838449230761</v>
      </c>
      <c r="BP28" s="5">
        <v>3720.7756034594595</v>
      </c>
      <c r="BQ28" s="5">
        <f t="shared" si="19"/>
        <v>-161.10824146361665</v>
      </c>
      <c r="BR28" s="5">
        <v>52</v>
      </c>
      <c r="BS28" s="5">
        <v>37</v>
      </c>
      <c r="BT28" s="5">
        <f t="shared" si="21"/>
        <v>4522.6291114394908</v>
      </c>
      <c r="BU28" s="5">
        <f t="shared" si="22"/>
        <v>4871.0706411130432</v>
      </c>
      <c r="BV28" s="5">
        <f t="shared" si="20"/>
        <v>348.4415296735524</v>
      </c>
      <c r="BW28" s="5">
        <v>66.978579414345475</v>
      </c>
      <c r="BX28" s="5">
        <v>71.756203164621084</v>
      </c>
      <c r="BY28" s="5">
        <v>0.69523809523809521</v>
      </c>
      <c r="BZ28" s="5">
        <v>0.91025641025641024</v>
      </c>
      <c r="CA28" s="5">
        <v>6961.572747397262</v>
      </c>
      <c r="CB28" s="5">
        <v>5950.7665690140839</v>
      </c>
      <c r="CC28" s="5">
        <v>59.996864983706992</v>
      </c>
      <c r="CD28" s="5">
        <v>58.952116132608452</v>
      </c>
      <c r="CE28" s="5">
        <v>0.36538461538461536</v>
      </c>
      <c r="CF28" s="5">
        <v>0.81081081081081086</v>
      </c>
      <c r="CG28" s="5">
        <v>10624.103154526314</v>
      </c>
      <c r="CH28" s="5">
        <v>4588.9565775999999</v>
      </c>
    </row>
    <row r="29" spans="1:86" x14ac:dyDescent="0.25">
      <c r="A29" s="3" t="s">
        <v>23</v>
      </c>
      <c r="B29" s="1" t="s">
        <v>4</v>
      </c>
      <c r="C29" s="1">
        <v>2</v>
      </c>
      <c r="D29" s="4">
        <v>16.830678979999998</v>
      </c>
      <c r="E29" s="4">
        <f t="shared" si="1"/>
        <v>38.15789473684211</v>
      </c>
      <c r="F29" s="4">
        <f>(P29/I29)*100</f>
        <v>37.567084078711986</v>
      </c>
      <c r="G29" s="4">
        <f t="shared" si="3"/>
        <v>-0.59081065813012401</v>
      </c>
      <c r="H29" s="4">
        <v>106.4</v>
      </c>
      <c r="I29" s="4">
        <v>111.8</v>
      </c>
      <c r="J29" s="4">
        <f t="shared" si="4"/>
        <v>5.3999999999999915</v>
      </c>
      <c r="K29" s="5">
        <v>19</v>
      </c>
      <c r="L29" s="4">
        <v>61.4</v>
      </c>
      <c r="M29" s="4">
        <v>60.7</v>
      </c>
      <c r="N29" s="4">
        <f t="shared" si="5"/>
        <v>-0.69999999999999574</v>
      </c>
      <c r="O29" s="4">
        <v>40.6</v>
      </c>
      <c r="P29" s="4">
        <v>42</v>
      </c>
      <c r="Q29" s="4">
        <f t="shared" si="6"/>
        <v>1.3999999999999986</v>
      </c>
      <c r="R29" s="4">
        <v>8.6705989110707797</v>
      </c>
      <c r="S29" s="4">
        <v>9.1424682395644261</v>
      </c>
      <c r="T29" s="4">
        <f t="shared" si="7"/>
        <v>0.47186932849364638</v>
      </c>
      <c r="U29" s="4">
        <v>1.22</v>
      </c>
      <c r="V29" s="4">
        <v>1.03</v>
      </c>
      <c r="W29" s="4">
        <f t="shared" si="8"/>
        <v>-0.18999999999999995</v>
      </c>
      <c r="X29" s="4">
        <v>144.28319999999999</v>
      </c>
      <c r="Y29" s="4">
        <v>161.16159999999999</v>
      </c>
      <c r="Z29" s="4">
        <f t="shared" si="9"/>
        <v>16.878399999999999</v>
      </c>
      <c r="AA29" s="5">
        <v>77.044823140000005</v>
      </c>
      <c r="AB29" s="5">
        <v>77.430368087682396</v>
      </c>
      <c r="AC29" s="5">
        <f t="shared" si="10"/>
        <v>0.38554494768239067</v>
      </c>
      <c r="AD29" s="5">
        <v>128.15360000000001</v>
      </c>
      <c r="AE29" s="5">
        <v>142.57759999999999</v>
      </c>
      <c r="AF29" s="5">
        <f t="shared" si="11"/>
        <v>14.423999999999978</v>
      </c>
      <c r="AG29" s="5">
        <v>136.3648</v>
      </c>
      <c r="AH29" s="5">
        <v>141.73759999999999</v>
      </c>
      <c r="AI29" s="5">
        <f t="shared" si="12"/>
        <v>5.3727999999999838</v>
      </c>
      <c r="AJ29" s="5">
        <v>16.1296</v>
      </c>
      <c r="AK29" s="5">
        <v>18.584</v>
      </c>
      <c r="AL29" s="5">
        <f t="shared" si="13"/>
        <v>2.4543999999999997</v>
      </c>
      <c r="AM29" s="5">
        <v>130.59520000000001</v>
      </c>
      <c r="AN29" s="5">
        <v>135.50720000000001</v>
      </c>
      <c r="AO29" s="5">
        <f t="shared" si="14"/>
        <v>4.9120000000000061</v>
      </c>
      <c r="AP29" s="5">
        <v>175.58983666061704</v>
      </c>
      <c r="AQ29" s="5">
        <v>314.88203266787656</v>
      </c>
      <c r="AR29" s="5">
        <f t="shared" si="15"/>
        <v>139.29219600725952</v>
      </c>
      <c r="AS29" s="5">
        <v>46.279491833030846</v>
      </c>
      <c r="AT29" s="5">
        <v>61.25226860254083</v>
      </c>
      <c r="AU29" s="5">
        <f t="shared" si="16"/>
        <v>14.972776769509984</v>
      </c>
      <c r="AV29" s="5">
        <v>95.281306715063508</v>
      </c>
      <c r="AW29" s="5">
        <v>129.31034482758619</v>
      </c>
      <c r="AX29" s="5">
        <f t="shared" si="17"/>
        <v>34.029038112522684</v>
      </c>
      <c r="AY29" s="5">
        <v>217636.11</v>
      </c>
      <c r="AZ29" s="5">
        <v>2048.585</v>
      </c>
      <c r="BA29" s="5">
        <v>2578.7125000000001</v>
      </c>
      <c r="BB29" s="5">
        <v>250.79</v>
      </c>
      <c r="BC29" s="5">
        <v>89.444999999999993</v>
      </c>
      <c r="BD29" s="5">
        <v>250.79</v>
      </c>
      <c r="BE29" s="5">
        <v>346.27499999999998</v>
      </c>
      <c r="BF29" s="5">
        <v>767.39</v>
      </c>
      <c r="BG29" s="5">
        <v>93.257499999999993</v>
      </c>
      <c r="BH29" s="5">
        <v>6.9924999999999997</v>
      </c>
      <c r="BI29" s="5">
        <v>18.6325</v>
      </c>
      <c r="BJ29" s="5">
        <v>5286.8313222857132</v>
      </c>
      <c r="BK29" s="5">
        <v>5872.5904091764687</v>
      </c>
      <c r="BL29" s="5">
        <f t="shared" si="18"/>
        <v>585.7590868907555</v>
      </c>
      <c r="BM29" s="5">
        <v>84</v>
      </c>
      <c r="BN29" s="5">
        <v>68</v>
      </c>
      <c r="BO29" s="5">
        <v>3895.7363824313729</v>
      </c>
      <c r="BP29" s="5">
        <v>5391.7965123636359</v>
      </c>
      <c r="BQ29" s="5">
        <f t="shared" si="19"/>
        <v>1496.060129932263</v>
      </c>
      <c r="BR29" s="5">
        <v>51</v>
      </c>
      <c r="BS29" s="5">
        <v>44</v>
      </c>
      <c r="BT29" s="5">
        <f t="shared" si="21"/>
        <v>4761.3065672296289</v>
      </c>
      <c r="BU29" s="5">
        <f t="shared" si="22"/>
        <v>5683.7070925714279</v>
      </c>
      <c r="BV29" s="5">
        <f t="shared" si="20"/>
        <v>922.40052534179904</v>
      </c>
      <c r="BW29" s="5">
        <v>69.70703200150794</v>
      </c>
      <c r="BX29" s="5">
        <v>74.788976142871533</v>
      </c>
      <c r="BY29" s="5">
        <v>2.1071428571428572</v>
      </c>
      <c r="BZ29" s="5">
        <v>1.2352941176470589</v>
      </c>
      <c r="CA29" s="5">
        <v>2509.0046953220335</v>
      </c>
      <c r="CB29" s="5">
        <v>4754.0017598095219</v>
      </c>
      <c r="CC29" s="5">
        <v>60.625224842338298</v>
      </c>
      <c r="CD29" s="5">
        <v>71.48081757838132</v>
      </c>
      <c r="CE29" s="5">
        <v>3.4509803921568629</v>
      </c>
      <c r="CF29" s="5">
        <v>1.1590909090909092</v>
      </c>
      <c r="CG29" s="5">
        <v>1128.8781562727274</v>
      </c>
      <c r="CH29" s="5">
        <v>4651.7460106666658</v>
      </c>
    </row>
    <row r="30" spans="1:86" x14ac:dyDescent="0.25">
      <c r="A30" s="3" t="s">
        <v>24</v>
      </c>
      <c r="B30" s="1" t="s">
        <v>4</v>
      </c>
      <c r="C30" s="1">
        <v>2</v>
      </c>
      <c r="D30" s="4">
        <v>17.746078959999998</v>
      </c>
      <c r="E30" s="4">
        <f t="shared" si="1"/>
        <v>19.448476052249635</v>
      </c>
      <c r="F30" s="4">
        <f t="shared" si="2"/>
        <v>16.961651917404129</v>
      </c>
      <c r="G30" s="4">
        <f t="shared" si="3"/>
        <v>-2.4868241348455058</v>
      </c>
      <c r="H30" s="4">
        <v>68.900000000000006</v>
      </c>
      <c r="I30" s="4">
        <v>67.8</v>
      </c>
      <c r="J30" s="4">
        <f t="shared" si="4"/>
        <v>-1.1000000000000085</v>
      </c>
      <c r="K30" s="5">
        <v>22</v>
      </c>
      <c r="L30" s="4">
        <v>52.5</v>
      </c>
      <c r="M30" s="4">
        <v>53.3</v>
      </c>
      <c r="N30" s="4">
        <f t="shared" si="5"/>
        <v>0.79999999999999716</v>
      </c>
      <c r="O30" s="4">
        <v>13.4</v>
      </c>
      <c r="P30" s="4">
        <v>11.5</v>
      </c>
      <c r="Q30" s="4">
        <f t="shared" si="6"/>
        <v>-1.9000000000000004</v>
      </c>
      <c r="R30" s="4">
        <v>6.2613430127041738</v>
      </c>
      <c r="S30" s="4">
        <v>6.4428312159709611</v>
      </c>
      <c r="T30" s="4">
        <f t="shared" si="7"/>
        <v>0.18148820326678727</v>
      </c>
      <c r="U30" s="4">
        <v>1.69</v>
      </c>
      <c r="V30" s="4">
        <v>2.12</v>
      </c>
      <c r="W30" s="4">
        <f t="shared" si="8"/>
        <v>0.43000000000000016</v>
      </c>
      <c r="X30" s="4">
        <v>130.94560000000001</v>
      </c>
      <c r="Y30" s="4">
        <v>147.32320000000001</v>
      </c>
      <c r="Z30" s="4">
        <f t="shared" si="9"/>
        <v>16.377600000000001</v>
      </c>
      <c r="AA30" s="5">
        <v>78.210298989999998</v>
      </c>
      <c r="AB30" s="5">
        <v>79.813740282589293</v>
      </c>
      <c r="AC30" s="5">
        <f t="shared" si="10"/>
        <v>1.6034412925892951</v>
      </c>
      <c r="AD30" s="5">
        <v>127.4896</v>
      </c>
      <c r="AE30" s="5">
        <v>143.25120000000001</v>
      </c>
      <c r="AF30" s="5">
        <f t="shared" si="11"/>
        <v>15.761600000000016</v>
      </c>
      <c r="AG30" s="5">
        <v>32.494399999999999</v>
      </c>
      <c r="AH30" s="5">
        <v>28.1008</v>
      </c>
      <c r="AI30" s="5">
        <f t="shared" si="12"/>
        <v>-4.3935999999999993</v>
      </c>
      <c r="AJ30" s="5">
        <v>3.456</v>
      </c>
      <c r="AK30" s="5">
        <v>4.0720000000000001</v>
      </c>
      <c r="AL30" s="5">
        <f t="shared" si="13"/>
        <v>0.6160000000000001</v>
      </c>
      <c r="AM30" s="5">
        <v>28.526399999999999</v>
      </c>
      <c r="AN30" s="5">
        <v>23.755199999999999</v>
      </c>
      <c r="AO30" s="5">
        <f t="shared" si="14"/>
        <v>-4.7712000000000003</v>
      </c>
      <c r="AP30" s="5">
        <v>85.753176043557161</v>
      </c>
      <c r="AQ30" s="5">
        <v>161.07078039927404</v>
      </c>
      <c r="AR30" s="5">
        <f t="shared" si="15"/>
        <v>75.317604355716881</v>
      </c>
      <c r="AS30" s="5">
        <v>35.843920145190559</v>
      </c>
      <c r="AT30" s="5">
        <v>61.705989110707797</v>
      </c>
      <c r="AU30" s="5">
        <f t="shared" si="16"/>
        <v>25.862068965517238</v>
      </c>
      <c r="AV30" s="5">
        <v>74.8638838475499</v>
      </c>
      <c r="AW30" s="5">
        <v>117.05989110707803</v>
      </c>
      <c r="AX30" s="5">
        <f t="shared" si="17"/>
        <v>42.19600725952813</v>
      </c>
      <c r="AY30" s="5">
        <v>158570.78</v>
      </c>
      <c r="AZ30" s="5">
        <v>772.43499999999995</v>
      </c>
      <c r="BA30" s="5">
        <v>1100.4825000000001</v>
      </c>
      <c r="BB30" s="5">
        <v>44.3675</v>
      </c>
      <c r="BC30" s="5">
        <v>86.412499999999994</v>
      </c>
      <c r="BD30" s="5">
        <v>73.247500000000002</v>
      </c>
      <c r="BE30" s="5">
        <v>78.657499999999999</v>
      </c>
      <c r="BF30" s="5">
        <v>313.45249999999999</v>
      </c>
      <c r="BG30" s="5">
        <v>67.197500000000005</v>
      </c>
      <c r="BH30" s="5">
        <v>5.66</v>
      </c>
      <c r="BI30" s="5">
        <v>5.89</v>
      </c>
      <c r="BJ30" s="5">
        <v>5292.9295808316838</v>
      </c>
      <c r="BK30" s="5">
        <v>5152.8448002689083</v>
      </c>
      <c r="BL30" s="5">
        <f t="shared" si="18"/>
        <v>-140.08478056277545</v>
      </c>
      <c r="BM30" s="5">
        <v>101</v>
      </c>
      <c r="BN30" s="5">
        <v>119</v>
      </c>
      <c r="BO30" s="5">
        <v>4327.0394430638289</v>
      </c>
      <c r="BP30" s="5">
        <v>4840.9761863529402</v>
      </c>
      <c r="BQ30" s="5">
        <f t="shared" si="19"/>
        <v>513.93674328911129</v>
      </c>
      <c r="BR30" s="5">
        <v>47</v>
      </c>
      <c r="BS30" s="5">
        <v>34</v>
      </c>
      <c r="BT30" s="5">
        <f t="shared" si="21"/>
        <v>4986.194199243243</v>
      </c>
      <c r="BU30" s="5">
        <f t="shared" si="22"/>
        <v>5083.5406638431377</v>
      </c>
      <c r="BV30" s="5">
        <f t="shared" si="20"/>
        <v>97.346464599894716</v>
      </c>
      <c r="BW30" s="5">
        <v>68.975147394695938</v>
      </c>
      <c r="BX30" s="5">
        <v>69.517083287564475</v>
      </c>
      <c r="BY30" s="5">
        <v>0.35643564356435642</v>
      </c>
      <c r="BZ30" s="5">
        <v>0.5714285714285714</v>
      </c>
      <c r="CA30" s="5">
        <v>14849.607990666669</v>
      </c>
      <c r="CB30" s="5">
        <v>9017.4784004705907</v>
      </c>
      <c r="CC30" s="5">
        <v>62.80228723764214</v>
      </c>
      <c r="CD30" s="5">
        <v>67.597613567740908</v>
      </c>
      <c r="CE30" s="5">
        <v>0.36170212765957449</v>
      </c>
      <c r="CF30" s="5">
        <v>0.23529411764705882</v>
      </c>
      <c r="CG30" s="5">
        <v>11962.991401411762</v>
      </c>
      <c r="CH30" s="5">
        <v>20574.148791999996</v>
      </c>
    </row>
    <row r="31" spans="1:86" x14ac:dyDescent="0.25">
      <c r="A31" s="3" t="s">
        <v>25</v>
      </c>
      <c r="B31" s="1" t="s">
        <v>5</v>
      </c>
      <c r="C31" s="1">
        <v>3</v>
      </c>
      <c r="D31" s="4">
        <v>16.02076125</v>
      </c>
      <c r="E31" s="4">
        <f t="shared" si="1"/>
        <v>16.873889875666077</v>
      </c>
      <c r="F31" s="4">
        <f t="shared" si="2"/>
        <v>14.041095890410956</v>
      </c>
      <c r="G31" s="4">
        <f t="shared" si="3"/>
        <v>-2.8327939852551207</v>
      </c>
      <c r="H31" s="4">
        <v>56.3</v>
      </c>
      <c r="I31" s="4">
        <v>58.4</v>
      </c>
      <c r="J31" s="4">
        <f t="shared" si="4"/>
        <v>2.1000000000000014</v>
      </c>
      <c r="K31" s="5">
        <v>29</v>
      </c>
      <c r="L31" s="4">
        <v>46.3</v>
      </c>
      <c r="M31" s="4">
        <v>48</v>
      </c>
      <c r="N31" s="4">
        <f t="shared" si="5"/>
        <v>1.7000000000000028</v>
      </c>
      <c r="O31" s="4">
        <v>9.5</v>
      </c>
      <c r="P31" s="4">
        <v>8.1999999999999993</v>
      </c>
      <c r="Q31" s="4">
        <f t="shared" si="6"/>
        <v>-1.3000000000000007</v>
      </c>
      <c r="R31" s="4">
        <v>5.8076225045372052</v>
      </c>
      <c r="S31" s="4">
        <v>6.0344827586206895</v>
      </c>
      <c r="T31" s="4">
        <f t="shared" si="7"/>
        <v>0.22686025408348431</v>
      </c>
      <c r="U31" s="4">
        <v>2.35</v>
      </c>
      <c r="V31" s="4">
        <v>2.5299999999999998</v>
      </c>
      <c r="W31" s="4">
        <f t="shared" si="8"/>
        <v>0.17999999999999972</v>
      </c>
      <c r="X31" s="4">
        <v>121.848</v>
      </c>
      <c r="Y31" s="4">
        <v>135.33760000000001</v>
      </c>
      <c r="Z31" s="4">
        <f t="shared" si="9"/>
        <v>13.48960000000001</v>
      </c>
      <c r="AA31" s="5">
        <v>78.802648550000001</v>
      </c>
      <c r="AB31" s="5">
        <v>79.747422079306801</v>
      </c>
      <c r="AC31" s="5">
        <f t="shared" si="10"/>
        <v>0.9447735293068007</v>
      </c>
      <c r="AD31" s="5">
        <v>119.70399999999999</v>
      </c>
      <c r="AE31" s="5">
        <v>132.56639999999999</v>
      </c>
      <c r="AF31" s="5">
        <f t="shared" si="11"/>
        <v>12.862399999999994</v>
      </c>
      <c r="AG31" s="5">
        <v>29.761600000000001</v>
      </c>
      <c r="AH31" s="5">
        <v>29.113600000000002</v>
      </c>
      <c r="AI31" s="5">
        <f t="shared" si="12"/>
        <v>-0.64799999999999969</v>
      </c>
      <c r="AJ31" s="5">
        <v>2.1440000000000001</v>
      </c>
      <c r="AK31" s="5">
        <v>2.7711999999999999</v>
      </c>
      <c r="AL31" s="5">
        <f t="shared" si="13"/>
        <v>0.62719999999999976</v>
      </c>
      <c r="AM31" s="5">
        <v>26.118400000000001</v>
      </c>
      <c r="AN31" s="5">
        <v>25.316800000000001</v>
      </c>
      <c r="AO31" s="5">
        <f t="shared" si="14"/>
        <v>-0.80160000000000053</v>
      </c>
      <c r="AP31" s="5">
        <v>105.26315789473684</v>
      </c>
      <c r="AQ31" s="5">
        <v>185.57168784029037</v>
      </c>
      <c r="AR31" s="5">
        <f t="shared" si="15"/>
        <v>80.308529945553531</v>
      </c>
      <c r="AS31" s="5">
        <v>47.640653357531754</v>
      </c>
      <c r="AT31" s="5">
        <v>64.42831215970962</v>
      </c>
      <c r="AU31" s="5">
        <f t="shared" si="16"/>
        <v>16.787658802177866</v>
      </c>
      <c r="AV31" s="5">
        <v>97.549909255898356</v>
      </c>
      <c r="AW31" s="5">
        <v>134.30127041742287</v>
      </c>
      <c r="AX31" s="5">
        <f t="shared" si="17"/>
        <v>36.751361161524514</v>
      </c>
      <c r="AY31" s="5">
        <v>172257.27</v>
      </c>
      <c r="AZ31" s="5">
        <v>1985.4275</v>
      </c>
      <c r="BA31" s="5">
        <v>1913.660275</v>
      </c>
      <c r="BB31" s="5">
        <v>108.7675</v>
      </c>
      <c r="BC31" s="5">
        <v>98.106390000000005</v>
      </c>
      <c r="BD31" s="5">
        <v>223.45500000000001</v>
      </c>
      <c r="BE31" s="5">
        <v>248.0141668</v>
      </c>
      <c r="BF31" s="5">
        <v>675.00750000000005</v>
      </c>
      <c r="BG31" s="5">
        <v>71.454166749999999</v>
      </c>
      <c r="BH31" s="5">
        <v>21.497499999999999</v>
      </c>
      <c r="BI31" s="5">
        <v>18.087499999999999</v>
      </c>
      <c r="BJ31" s="5">
        <v>5743.8183525517234</v>
      </c>
      <c r="BK31" s="5">
        <v>7526.1681479384624</v>
      </c>
      <c r="BL31" s="5">
        <f t="shared" si="18"/>
        <v>1782.3497953867391</v>
      </c>
      <c r="BM31" s="5">
        <v>58</v>
      </c>
      <c r="BN31" s="5">
        <v>65</v>
      </c>
      <c r="BO31" s="5">
        <v>5466.6943504761894</v>
      </c>
      <c r="BP31" s="5">
        <v>6251.2229112558143</v>
      </c>
      <c r="BQ31" s="5">
        <f t="shared" si="19"/>
        <v>784.52856077962497</v>
      </c>
      <c r="BR31" s="5">
        <v>84</v>
      </c>
      <c r="BS31" s="5">
        <v>43</v>
      </c>
      <c r="BT31" s="5">
        <f t="shared" si="21"/>
        <v>5579.8858442816891</v>
      </c>
      <c r="BU31" s="5">
        <f t="shared" si="22"/>
        <v>7018.5510629629634</v>
      </c>
      <c r="BV31" s="5">
        <f t="shared" si="20"/>
        <v>1438.6652186812744</v>
      </c>
      <c r="BW31" s="5">
        <v>73.427212082623385</v>
      </c>
      <c r="BX31" s="5">
        <v>76.084444098504648</v>
      </c>
      <c r="BY31" s="5">
        <v>0.7068965517241379</v>
      </c>
      <c r="BZ31" s="5">
        <v>0.98461538461538467</v>
      </c>
      <c r="CA31" s="5">
        <v>8125.4015719024383</v>
      </c>
      <c r="CB31" s="5">
        <v>7643.7645252500006</v>
      </c>
      <c r="CC31" s="5">
        <v>68.704571528370366</v>
      </c>
      <c r="CD31" s="5">
        <v>70.497567028768771</v>
      </c>
      <c r="CE31" s="5">
        <v>0.40476190476190477</v>
      </c>
      <c r="CF31" s="5">
        <v>0.81395348837209303</v>
      </c>
      <c r="CG31" s="5">
        <v>13505.950748235291</v>
      </c>
      <c r="CH31" s="5">
        <v>7680.0738624000005</v>
      </c>
    </row>
    <row r="32" spans="1:86" x14ac:dyDescent="0.25">
      <c r="A32" s="3" t="s">
        <v>26</v>
      </c>
      <c r="B32" s="1" t="s">
        <v>4</v>
      </c>
      <c r="C32" s="1">
        <v>2</v>
      </c>
      <c r="D32" s="4">
        <v>17.040666649999999</v>
      </c>
      <c r="E32" s="4">
        <f t="shared" si="1"/>
        <v>17.919075144508671</v>
      </c>
      <c r="F32" s="4">
        <f t="shared" si="2"/>
        <v>19.753086419753085</v>
      </c>
      <c r="G32" s="4">
        <f t="shared" si="3"/>
        <v>1.8340112752444142</v>
      </c>
      <c r="H32" s="4">
        <v>69.2</v>
      </c>
      <c r="I32" s="4">
        <v>72.900000000000006</v>
      </c>
      <c r="J32" s="4">
        <f t="shared" si="4"/>
        <v>3.7000000000000028</v>
      </c>
      <c r="K32" s="5">
        <v>24</v>
      </c>
      <c r="L32" s="4">
        <v>54.6</v>
      </c>
      <c r="M32" s="4">
        <v>56.1</v>
      </c>
      <c r="N32" s="4">
        <f t="shared" si="5"/>
        <v>1.5</v>
      </c>
      <c r="O32" s="4">
        <v>12.4</v>
      </c>
      <c r="P32" s="4">
        <v>14.4</v>
      </c>
      <c r="Q32" s="4">
        <f t="shared" si="6"/>
        <v>2</v>
      </c>
      <c r="R32" s="4">
        <v>5.8529945553539013</v>
      </c>
      <c r="S32" s="4">
        <v>6.3067150635208709</v>
      </c>
      <c r="T32" s="4">
        <f t="shared" si="7"/>
        <v>0.45372050816696952</v>
      </c>
      <c r="U32" s="4">
        <v>1.6</v>
      </c>
      <c r="V32" s="4">
        <v>1.96</v>
      </c>
      <c r="W32" s="4">
        <f t="shared" si="8"/>
        <v>0.35999999999999988</v>
      </c>
      <c r="X32" s="4">
        <v>117.58240000000001</v>
      </c>
      <c r="Y32" s="4">
        <v>140.1968</v>
      </c>
      <c r="Z32" s="4">
        <f t="shared" si="9"/>
        <v>22.614399999999989</v>
      </c>
      <c r="AA32" s="5">
        <v>79.503720880000003</v>
      </c>
      <c r="AB32" s="5">
        <v>76.802356002421504</v>
      </c>
      <c r="AC32" s="5">
        <f t="shared" si="10"/>
        <v>-2.7013648775784986</v>
      </c>
      <c r="AD32" s="5">
        <v>113.6576</v>
      </c>
      <c r="AE32" s="5">
        <v>133.768</v>
      </c>
      <c r="AF32" s="5">
        <f t="shared" si="11"/>
        <v>20.110399999999998</v>
      </c>
      <c r="AG32" s="5">
        <v>55.1648</v>
      </c>
      <c r="AH32" s="5">
        <v>63.257599999999996</v>
      </c>
      <c r="AI32" s="5">
        <f t="shared" si="12"/>
        <v>8.0927999999999969</v>
      </c>
      <c r="AJ32" s="5">
        <v>3.9247999999999998</v>
      </c>
      <c r="AK32" s="5">
        <v>6.4287999999999998</v>
      </c>
      <c r="AL32" s="5">
        <f t="shared" si="13"/>
        <v>2.504</v>
      </c>
      <c r="AM32" s="5">
        <v>51.2256</v>
      </c>
      <c r="AN32" s="5">
        <v>58.619199999999999</v>
      </c>
      <c r="AO32" s="5">
        <f t="shared" si="14"/>
        <v>7.3935999999999993</v>
      </c>
      <c r="AP32" s="5">
        <v>97.549909255898356</v>
      </c>
      <c r="AQ32" s="5">
        <v>153.81125226860252</v>
      </c>
      <c r="AR32" s="5">
        <f t="shared" si="15"/>
        <v>56.26134301270416</v>
      </c>
      <c r="AS32" s="5">
        <v>51.27041742286751</v>
      </c>
      <c r="AT32" s="5">
        <v>64.42831215970962</v>
      </c>
      <c r="AU32" s="5">
        <f t="shared" si="16"/>
        <v>13.15789473684211</v>
      </c>
      <c r="AV32" s="5">
        <v>85.299455535390194</v>
      </c>
      <c r="AW32" s="5">
        <v>107.53176043557168</v>
      </c>
      <c r="AX32" s="5">
        <f t="shared" si="17"/>
        <v>22.232304900181489</v>
      </c>
      <c r="AY32" s="5">
        <v>167447.82</v>
      </c>
      <c r="AZ32" s="5">
        <v>1309.7874999999999</v>
      </c>
      <c r="BA32" s="5">
        <v>2557.0025000000001</v>
      </c>
      <c r="BB32" s="5">
        <v>109.935</v>
      </c>
      <c r="BC32" s="5">
        <v>126.375</v>
      </c>
      <c r="BD32" s="5">
        <v>7.55</v>
      </c>
      <c r="BE32" s="5">
        <v>238.8725</v>
      </c>
      <c r="BF32" s="5">
        <v>38.380000000000003</v>
      </c>
      <c r="BG32" s="5">
        <v>135.285</v>
      </c>
      <c r="BH32" s="5">
        <v>2.5775000000000001</v>
      </c>
      <c r="BI32" s="5">
        <v>15.03</v>
      </c>
      <c r="BJ32" s="5">
        <v>3804.7856362666662</v>
      </c>
      <c r="BK32" s="5">
        <v>6655.3765764155869</v>
      </c>
      <c r="BL32" s="5">
        <f t="shared" si="18"/>
        <v>2850.5909401489207</v>
      </c>
      <c r="BM32" s="5">
        <v>120</v>
      </c>
      <c r="BN32" s="5">
        <v>77</v>
      </c>
      <c r="BO32" s="5">
        <v>4148.4449291636356</v>
      </c>
      <c r="BP32" s="5">
        <v>5255.7068934736835</v>
      </c>
      <c r="BQ32" s="5">
        <f t="shared" si="19"/>
        <v>1107.2619643100479</v>
      </c>
      <c r="BR32" s="5">
        <v>55</v>
      </c>
      <c r="BS32" s="5">
        <v>38</v>
      </c>
      <c r="BT32" s="5">
        <f t="shared" si="21"/>
        <v>3912.7928426057142</v>
      </c>
      <c r="BU32" s="5">
        <f t="shared" si="22"/>
        <v>6192.8770290086968</v>
      </c>
      <c r="BV32" s="5">
        <f t="shared" si="20"/>
        <v>2280.0841864029826</v>
      </c>
      <c r="BW32" s="5">
        <v>59.667299815340876</v>
      </c>
      <c r="BX32" s="5">
        <v>79.359940804597301</v>
      </c>
      <c r="BY32" s="5">
        <v>0.71666666666666667</v>
      </c>
      <c r="BZ32" s="5">
        <v>1.5324675324675325</v>
      </c>
      <c r="CA32" s="5">
        <v>5309.0032133953482</v>
      </c>
      <c r="CB32" s="5">
        <v>4342.9152235932215</v>
      </c>
      <c r="CC32" s="5">
        <v>61.386131738311697</v>
      </c>
      <c r="CD32" s="5">
        <v>69.820251150732489</v>
      </c>
      <c r="CE32" s="5">
        <v>0.32727272727272727</v>
      </c>
      <c r="CF32" s="5">
        <v>1.5</v>
      </c>
      <c r="CG32" s="5">
        <v>12675.80395022222</v>
      </c>
      <c r="CH32" s="5">
        <v>3503.8045956491223</v>
      </c>
    </row>
    <row r="33" spans="1:8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89" s="60" customFormat="1" x14ac:dyDescent="0.25">
      <c r="A34" s="58"/>
      <c r="B34" s="58"/>
      <c r="C34" s="58" t="s">
        <v>188</v>
      </c>
      <c r="D34" s="59">
        <f>AVERAGE(D2:D32)</f>
        <v>17.640347462258067</v>
      </c>
      <c r="E34" s="59">
        <f t="shared" ref="E34:BP34" si="23">AVERAGE(E2:E32)</f>
        <v>22.126479227068177</v>
      </c>
      <c r="F34" s="59">
        <f t="shared" si="23"/>
        <v>21.627799663155731</v>
      </c>
      <c r="G34" s="59">
        <f t="shared" si="23"/>
        <v>-0.49867956391244661</v>
      </c>
      <c r="H34" s="59">
        <f t="shared" si="23"/>
        <v>76.648612903225825</v>
      </c>
      <c r="I34" s="59">
        <f t="shared" si="23"/>
        <v>78.435483870967772</v>
      </c>
      <c r="J34" s="59">
        <f t="shared" si="23"/>
        <v>1.7868709677419357</v>
      </c>
      <c r="K34" s="59">
        <f t="shared" si="23"/>
        <v>22.580645161290324</v>
      </c>
      <c r="L34" s="59">
        <f t="shared" si="23"/>
        <v>56.106451612903221</v>
      </c>
      <c r="M34" s="59">
        <f t="shared" si="23"/>
        <v>57.948387096774198</v>
      </c>
      <c r="N34" s="59">
        <f t="shared" si="23"/>
        <v>1.8419354838709678</v>
      </c>
      <c r="O34" s="59">
        <f t="shared" si="23"/>
        <v>17.57741935483871</v>
      </c>
      <c r="P34" s="59">
        <f t="shared" si="23"/>
        <v>17.638709677419349</v>
      </c>
      <c r="Q34" s="59">
        <f t="shared" si="23"/>
        <v>6.1290322580645061E-2</v>
      </c>
      <c r="R34" s="59">
        <f t="shared" si="23"/>
        <v>7.155904221064338</v>
      </c>
      <c r="S34" s="59">
        <f t="shared" si="23"/>
        <v>7.5319067970259344</v>
      </c>
      <c r="T34" s="59">
        <f t="shared" si="23"/>
        <v>0.37600257596159486</v>
      </c>
      <c r="U34" s="59">
        <f t="shared" si="23"/>
        <v>1.8983870967741938</v>
      </c>
      <c r="V34" s="59">
        <f t="shared" si="23"/>
        <v>2.3248387096774192</v>
      </c>
      <c r="W34" s="59">
        <f t="shared" si="23"/>
        <v>0.42645161290322575</v>
      </c>
      <c r="X34" s="59">
        <f t="shared" si="23"/>
        <v>144.79169032258065</v>
      </c>
      <c r="Y34" s="59">
        <f t="shared" si="23"/>
        <v>159.83912258064518</v>
      </c>
      <c r="Z34" s="59">
        <f t="shared" si="23"/>
        <v>15.047432258064516</v>
      </c>
      <c r="AA34" s="59">
        <f t="shared" si="23"/>
        <v>77.699978593870966</v>
      </c>
      <c r="AB34" s="59">
        <f t="shared" si="23"/>
        <v>78.936887875134602</v>
      </c>
      <c r="AC34" s="59">
        <f t="shared" si="23"/>
        <v>1.2369092812636193</v>
      </c>
      <c r="AD34" s="59">
        <f t="shared" si="23"/>
        <v>137.18152258064518</v>
      </c>
      <c r="AE34" s="59">
        <f t="shared" si="23"/>
        <v>150.9027096774193</v>
      </c>
      <c r="AF34" s="59">
        <f t="shared" si="23"/>
        <v>13.721187096774194</v>
      </c>
      <c r="AG34" s="59">
        <f t="shared" si="23"/>
        <v>52.482993548387114</v>
      </c>
      <c r="AH34" s="59">
        <f t="shared" si="23"/>
        <v>53.524748387096764</v>
      </c>
      <c r="AI34" s="59">
        <f t="shared" si="23"/>
        <v>1.0417548387096769</v>
      </c>
      <c r="AJ34" s="59">
        <f t="shared" si="23"/>
        <v>7.6101677419354834</v>
      </c>
      <c r="AK34" s="59">
        <f t="shared" si="23"/>
        <v>8.9364129032258077</v>
      </c>
      <c r="AL34" s="59">
        <f t="shared" si="23"/>
        <v>1.3262451612903225</v>
      </c>
      <c r="AM34" s="59">
        <f t="shared" si="23"/>
        <v>47.990812903225816</v>
      </c>
      <c r="AN34" s="59">
        <f t="shared" si="23"/>
        <v>48.7003870967742</v>
      </c>
      <c r="AO34" s="59">
        <f t="shared" si="23"/>
        <v>0.7095741935483868</v>
      </c>
      <c r="AP34" s="59">
        <f t="shared" si="23"/>
        <v>158.78754171301438</v>
      </c>
      <c r="AQ34" s="59">
        <f t="shared" si="23"/>
        <v>244.37972015689951</v>
      </c>
      <c r="AR34" s="59">
        <f t="shared" si="23"/>
        <v>85.592178443885004</v>
      </c>
      <c r="AS34" s="59">
        <f t="shared" si="23"/>
        <v>66.21392190152801</v>
      </c>
      <c r="AT34" s="59">
        <f t="shared" si="23"/>
        <v>79.85480943738655</v>
      </c>
      <c r="AU34" s="59">
        <f t="shared" si="23"/>
        <v>13.640887535858555</v>
      </c>
      <c r="AV34" s="59">
        <f t="shared" si="23"/>
        <v>103.3165505532463</v>
      </c>
      <c r="AW34" s="59">
        <f t="shared" si="23"/>
        <v>139.27755986183473</v>
      </c>
      <c r="AX34" s="59">
        <f t="shared" si="23"/>
        <v>35.961009308588494</v>
      </c>
      <c r="AY34" s="59">
        <f t="shared" si="23"/>
        <v>221454.87387096774</v>
      </c>
      <c r="AZ34" s="59">
        <f t="shared" si="23"/>
        <v>1822.3715322580649</v>
      </c>
      <c r="BA34" s="59">
        <f t="shared" si="23"/>
        <v>2176.8292911290323</v>
      </c>
      <c r="BB34" s="59">
        <f t="shared" si="23"/>
        <v>97.560833333225787</v>
      </c>
      <c r="BC34" s="59">
        <f t="shared" si="23"/>
        <v>109.69218677419356</v>
      </c>
      <c r="BD34" s="59">
        <f t="shared" si="23"/>
        <v>223.78706989258066</v>
      </c>
      <c r="BE34" s="59">
        <f t="shared" si="23"/>
        <v>227.59599467096777</v>
      </c>
      <c r="BF34" s="59">
        <f t="shared" si="23"/>
        <v>532.64938171935489</v>
      </c>
      <c r="BG34" s="59">
        <f t="shared" si="23"/>
        <v>94.830502725806468</v>
      </c>
      <c r="BH34" s="59">
        <f t="shared" si="23"/>
        <v>13.849059139774194</v>
      </c>
      <c r="BI34" s="59">
        <f t="shared" si="23"/>
        <v>17.010161290322575</v>
      </c>
      <c r="BJ34" s="59">
        <f t="shared" si="23"/>
        <v>5492.8752446011949</v>
      </c>
      <c r="BK34" s="59">
        <f t="shared" si="23"/>
        <v>6386.299036284332</v>
      </c>
      <c r="BL34" s="59">
        <f t="shared" si="23"/>
        <v>893.42379168313755</v>
      </c>
      <c r="BM34" s="59">
        <f t="shared" si="23"/>
        <v>91.566666666666663</v>
      </c>
      <c r="BN34" s="59">
        <f t="shared" si="23"/>
        <v>82</v>
      </c>
      <c r="BO34" s="59">
        <f t="shared" si="23"/>
        <v>4717.2233610134026</v>
      </c>
      <c r="BP34" s="59">
        <f t="shared" si="23"/>
        <v>5044.7772117893674</v>
      </c>
      <c r="BQ34" s="59">
        <f t="shared" ref="BQ34:CH34" si="24">AVERAGE(BQ2:BQ32)</f>
        <v>327.55385077596804</v>
      </c>
      <c r="BR34" s="59">
        <f t="shared" si="24"/>
        <v>56.1</v>
      </c>
      <c r="BS34" s="59">
        <f t="shared" si="24"/>
        <v>49.133333333333333</v>
      </c>
      <c r="BT34" s="59">
        <f t="shared" si="24"/>
        <v>5142.657597467829</v>
      </c>
      <c r="BU34" s="59">
        <f t="shared" si="24"/>
        <v>5865.3695815448837</v>
      </c>
      <c r="BV34" s="59">
        <f t="shared" si="24"/>
        <v>722.71198407705583</v>
      </c>
      <c r="BW34" s="59">
        <f t="shared" si="24"/>
        <v>68.862204711897618</v>
      </c>
      <c r="BX34" s="59">
        <f t="shared" si="24"/>
        <v>75.344679967103801</v>
      </c>
      <c r="BY34" s="59">
        <f t="shared" si="24"/>
        <v>0.91063645112220193</v>
      </c>
      <c r="BZ34" s="59">
        <f t="shared" si="24"/>
        <v>1.0652717308185855</v>
      </c>
      <c r="CA34" s="59">
        <f t="shared" si="24"/>
        <v>12248.508288582392</v>
      </c>
      <c r="CB34" s="59">
        <f t="shared" si="24"/>
        <v>9640.089069961612</v>
      </c>
      <c r="CC34" s="59">
        <f t="shared" si="24"/>
        <v>63.981851313295856</v>
      </c>
      <c r="CD34" s="59">
        <f t="shared" si="24"/>
        <v>67.151239620512186</v>
      </c>
      <c r="CE34" s="59">
        <f t="shared" si="24"/>
        <v>1.3866029065826557</v>
      </c>
      <c r="CF34" s="59">
        <f t="shared" si="24"/>
        <v>0.98893055121683027</v>
      </c>
      <c r="CG34" s="59">
        <f t="shared" si="24"/>
        <v>10033.788901215525</v>
      </c>
      <c r="CH34" s="59">
        <f t="shared" si="24"/>
        <v>9172.4276088169972</v>
      </c>
      <c r="CI34" s="63"/>
      <c r="CJ34" s="63"/>
      <c r="CK34" s="63"/>
    </row>
    <row r="35" spans="1:89" s="60" customFormat="1" x14ac:dyDescent="0.25">
      <c r="A35" s="58"/>
      <c r="B35" s="58"/>
      <c r="C35" s="58" t="s">
        <v>189</v>
      </c>
      <c r="D35" s="59">
        <f>STDEV(D2:D32)</f>
        <v>1.4122756262895639</v>
      </c>
      <c r="E35" s="59">
        <f t="shared" ref="E35:BP35" si="25">STDEV(E2:E32)</f>
        <v>7.2537685497391529</v>
      </c>
      <c r="F35" s="59">
        <f t="shared" si="25"/>
        <v>7.2458175592543261</v>
      </c>
      <c r="G35" s="59">
        <f t="shared" si="25"/>
        <v>2.1574186967678406</v>
      </c>
      <c r="H35" s="59">
        <f t="shared" si="25"/>
        <v>12.967926111956313</v>
      </c>
      <c r="I35" s="59">
        <f t="shared" si="25"/>
        <v>13.827738990572296</v>
      </c>
      <c r="J35" s="59">
        <f t="shared" si="25"/>
        <v>2.7479091778045275</v>
      </c>
      <c r="K35" s="59">
        <f t="shared" si="25"/>
        <v>3.5381180830905694</v>
      </c>
      <c r="L35" s="59">
        <f t="shared" si="25"/>
        <v>6.7073062394113991</v>
      </c>
      <c r="M35" s="59">
        <f t="shared" si="25"/>
        <v>7.0712031492875811</v>
      </c>
      <c r="N35" s="59">
        <f t="shared" si="25"/>
        <v>1.7122644253635555</v>
      </c>
      <c r="O35" s="59">
        <f t="shared" si="25"/>
        <v>8.6114152796320109</v>
      </c>
      <c r="P35" s="59">
        <f t="shared" si="25"/>
        <v>9.0819115983128871</v>
      </c>
      <c r="Q35" s="59">
        <f t="shared" si="25"/>
        <v>2.2032820093903611</v>
      </c>
      <c r="R35" s="59">
        <f t="shared" si="25"/>
        <v>1.21344358203446</v>
      </c>
      <c r="S35" s="59">
        <f t="shared" si="25"/>
        <v>1.2712314196478605</v>
      </c>
      <c r="T35" s="59">
        <f t="shared" si="25"/>
        <v>0.23678746108830312</v>
      </c>
      <c r="U35" s="59">
        <f t="shared" si="25"/>
        <v>0.48988499857410905</v>
      </c>
      <c r="V35" s="59">
        <f t="shared" si="25"/>
        <v>0.53731350853260229</v>
      </c>
      <c r="W35" s="59">
        <f t="shared" si="25"/>
        <v>0.327745311556568</v>
      </c>
      <c r="X35" s="59">
        <f t="shared" si="25"/>
        <v>22.542097352100509</v>
      </c>
      <c r="Y35" s="59">
        <f t="shared" si="25"/>
        <v>24.488407106584344</v>
      </c>
      <c r="Z35" s="59">
        <f t="shared" si="25"/>
        <v>7.3410037698935566</v>
      </c>
      <c r="AA35" s="59">
        <f t="shared" si="25"/>
        <v>1.298583965901468</v>
      </c>
      <c r="AB35" s="59">
        <f t="shared" si="25"/>
        <v>1.0428397982877888</v>
      </c>
      <c r="AC35" s="59">
        <f t="shared" si="25"/>
        <v>1.1429050257491002</v>
      </c>
      <c r="AD35" s="59">
        <f t="shared" si="25"/>
        <v>19.730177159513815</v>
      </c>
      <c r="AE35" s="59">
        <f t="shared" si="25"/>
        <v>21.152710581788739</v>
      </c>
      <c r="AF35" s="59">
        <f t="shared" si="25"/>
        <v>6.1541758367113033</v>
      </c>
      <c r="AG35" s="59">
        <f t="shared" si="25"/>
        <v>24.036176864689242</v>
      </c>
      <c r="AH35" s="59">
        <f t="shared" si="25"/>
        <v>26.991819173419611</v>
      </c>
      <c r="AI35" s="59">
        <f t="shared" si="25"/>
        <v>6.7884343539502883</v>
      </c>
      <c r="AJ35" s="59">
        <f t="shared" si="25"/>
        <v>4.3115989928244405</v>
      </c>
      <c r="AK35" s="59">
        <f t="shared" si="25"/>
        <v>4.9322155297419785</v>
      </c>
      <c r="AL35" s="59">
        <f t="shared" si="25"/>
        <v>1.7114569782963112</v>
      </c>
      <c r="AM35" s="59">
        <f t="shared" si="25"/>
        <v>23.622876465772755</v>
      </c>
      <c r="AN35" s="59">
        <f t="shared" si="25"/>
        <v>26.43219375221236</v>
      </c>
      <c r="AO35" s="59">
        <f t="shared" si="25"/>
        <v>6.5496970913657648</v>
      </c>
      <c r="AP35" s="59">
        <f t="shared" si="25"/>
        <v>55.924248692422942</v>
      </c>
      <c r="AQ35" s="59">
        <f t="shared" si="25"/>
        <v>69.373720039095673</v>
      </c>
      <c r="AR35" s="59">
        <f t="shared" si="25"/>
        <v>30.90111998446875</v>
      </c>
      <c r="AS35" s="59">
        <f t="shared" si="25"/>
        <v>19.124533983115803</v>
      </c>
      <c r="AT35" s="59">
        <f t="shared" si="25"/>
        <v>20.060057302272803</v>
      </c>
      <c r="AU35" s="59">
        <f t="shared" si="25"/>
        <v>6.815817889169014</v>
      </c>
      <c r="AV35" s="59">
        <f t="shared" si="25"/>
        <v>22.608820093581489</v>
      </c>
      <c r="AW35" s="59">
        <f t="shared" si="25"/>
        <v>26.430919244365029</v>
      </c>
      <c r="AX35" s="59">
        <f t="shared" si="25"/>
        <v>9.3997689463202914</v>
      </c>
      <c r="AY35" s="59">
        <f t="shared" si="25"/>
        <v>56264.691750778584</v>
      </c>
      <c r="AZ35" s="59">
        <f t="shared" si="25"/>
        <v>802.50334527721157</v>
      </c>
      <c r="BA35" s="59">
        <f t="shared" si="25"/>
        <v>741.29869862697331</v>
      </c>
      <c r="BB35" s="59">
        <f t="shared" si="25"/>
        <v>48.989199230587758</v>
      </c>
      <c r="BC35" s="59">
        <f t="shared" si="25"/>
        <v>42.340598975672542</v>
      </c>
      <c r="BD35" s="59">
        <f t="shared" si="25"/>
        <v>126.12692775097669</v>
      </c>
      <c r="BE35" s="59">
        <f t="shared" si="25"/>
        <v>90.878328329836677</v>
      </c>
      <c r="BF35" s="59">
        <f t="shared" si="25"/>
        <v>424.00281606744517</v>
      </c>
      <c r="BG35" s="59">
        <f t="shared" si="25"/>
        <v>49.640427146154998</v>
      </c>
      <c r="BH35" s="59">
        <f t="shared" si="25"/>
        <v>9.353151790395847</v>
      </c>
      <c r="BI35" s="59">
        <f t="shared" si="25"/>
        <v>12.99088133614441</v>
      </c>
      <c r="BJ35" s="59">
        <f t="shared" si="25"/>
        <v>1638.4809604428306</v>
      </c>
      <c r="BK35" s="59">
        <f t="shared" si="25"/>
        <v>1556.1806462573295</v>
      </c>
      <c r="BL35" s="59">
        <f t="shared" si="25"/>
        <v>1382.7490694846981</v>
      </c>
      <c r="BM35" s="59">
        <f t="shared" si="25"/>
        <v>35.682202009263456</v>
      </c>
      <c r="BN35" s="59">
        <f t="shared" si="25"/>
        <v>26.696247960573295</v>
      </c>
      <c r="BO35" s="59">
        <f t="shared" si="25"/>
        <v>1504.734266962874</v>
      </c>
      <c r="BP35" s="59">
        <f t="shared" si="25"/>
        <v>1212.8221869152444</v>
      </c>
      <c r="BQ35" s="59">
        <f t="shared" ref="BQ35:CH35" si="26">STDEV(BQ2:BQ32)</f>
        <v>1052.6480738207317</v>
      </c>
      <c r="BR35" s="59">
        <f t="shared" si="26"/>
        <v>16.593205921660243</v>
      </c>
      <c r="BS35" s="59">
        <f t="shared" si="26"/>
        <v>16.241142590460743</v>
      </c>
      <c r="BT35" s="59">
        <f t="shared" si="26"/>
        <v>1454.6456534032736</v>
      </c>
      <c r="BU35" s="59">
        <f t="shared" si="26"/>
        <v>1267.3215167421749</v>
      </c>
      <c r="BV35" s="59">
        <f t="shared" si="26"/>
        <v>1206.351483752765</v>
      </c>
      <c r="BW35" s="59">
        <f t="shared" si="26"/>
        <v>9.0733895231256891</v>
      </c>
      <c r="BX35" s="59">
        <f t="shared" si="26"/>
        <v>8.4536574753034905</v>
      </c>
      <c r="BY35" s="59">
        <f t="shared" si="26"/>
        <v>0.87216239026248676</v>
      </c>
      <c r="BZ35" s="59">
        <f t="shared" si="26"/>
        <v>0.99861538429080077</v>
      </c>
      <c r="CA35" s="59">
        <f t="shared" si="26"/>
        <v>23705.068942763886</v>
      </c>
      <c r="CB35" s="59">
        <f t="shared" si="26"/>
        <v>5508.4600728937858</v>
      </c>
      <c r="CC35" s="59">
        <f t="shared" si="26"/>
        <v>8.2290999021699243</v>
      </c>
      <c r="CD35" s="59">
        <f t="shared" si="26"/>
        <v>7.7940927199485257</v>
      </c>
      <c r="CE35" s="59">
        <f t="shared" si="26"/>
        <v>3.0319942621204476</v>
      </c>
      <c r="CF35" s="59">
        <f t="shared" si="26"/>
        <v>1.1632256960928371</v>
      </c>
      <c r="CG35" s="59">
        <f t="shared" si="26"/>
        <v>10759.891249883161</v>
      </c>
      <c r="CH35" s="59">
        <f t="shared" si="26"/>
        <v>6336.9353170703062</v>
      </c>
      <c r="CI35" s="63"/>
      <c r="CJ35" s="63"/>
      <c r="CK35" s="63"/>
    </row>
    <row r="36" spans="1:89" s="60" customFormat="1" x14ac:dyDescent="0.25">
      <c r="A36" s="58"/>
      <c r="B36" s="58"/>
      <c r="C36" s="60" t="s">
        <v>196</v>
      </c>
      <c r="D36" s="65"/>
      <c r="E36" s="65"/>
      <c r="F36" s="59">
        <f>TTEST(F2:F32,E2:E32,2,1)</f>
        <v>0.20794714099550021</v>
      </c>
      <c r="G36" s="59"/>
      <c r="H36" s="59"/>
      <c r="I36" s="59">
        <f>TTEST(I2:I32,H2:H32,2,1)</f>
        <v>1.0706482451610818E-3</v>
      </c>
      <c r="J36" s="59"/>
      <c r="K36" s="59"/>
      <c r="L36" s="59"/>
      <c r="M36" s="59">
        <f>TTEST(M2:M32,L2:L32,2,1)</f>
        <v>1.4361506893899463E-6</v>
      </c>
      <c r="N36" s="59"/>
      <c r="O36" s="59"/>
      <c r="P36" s="59">
        <f>TTEST(P2:P32,O2:O32,2,1)</f>
        <v>0.87795122245170509</v>
      </c>
      <c r="Q36" s="59"/>
      <c r="R36" s="59"/>
      <c r="S36" s="59">
        <f>TTEST(S2:S32,R2:R32,2,1)</f>
        <v>7.4232791725466375E-10</v>
      </c>
      <c r="T36" s="59"/>
      <c r="U36" s="59"/>
      <c r="V36" s="59">
        <f>TTEST(V2:V32,U2:U32,2,1)</f>
        <v>4.5891741386890456E-8</v>
      </c>
      <c r="W36" s="65"/>
      <c r="X36" s="65"/>
      <c r="Y36" s="59">
        <f>TTEST(Y2:Y32,X2:X32,2,1)</f>
        <v>1.9345075925148085E-12</v>
      </c>
      <c r="Z36" s="65"/>
      <c r="AA36" s="65"/>
      <c r="AB36" s="59">
        <f>TTEST(AB2:AB32,AA2:AA32,2,1)</f>
        <v>1.2976029464421745E-6</v>
      </c>
      <c r="AC36" s="65"/>
      <c r="AD36" s="65"/>
      <c r="AE36" s="59">
        <f>TTEST(AE2:AE32,AD2:AD32,2,1)</f>
        <v>2.3810014257460225E-13</v>
      </c>
      <c r="AF36" s="65"/>
      <c r="AG36" s="65"/>
      <c r="AH36" s="59">
        <f>TTEST(AH2:AH32,AG2:AG32,2,1)</f>
        <v>0.39963836185963519</v>
      </c>
      <c r="AI36" s="65"/>
      <c r="AJ36" s="65"/>
      <c r="AK36" s="59">
        <f>TTEST(AK2:AK32,AJ2:AJ32,2,1)</f>
        <v>1.5982552067862274E-4</v>
      </c>
      <c r="AL36" s="65"/>
      <c r="AM36" s="65"/>
      <c r="AN36" s="59">
        <f>TTEST(AN2:AN32,AM2:AM32,2,1)</f>
        <v>0.55091275062762057</v>
      </c>
      <c r="AO36" s="65"/>
      <c r="AP36" s="65"/>
      <c r="AQ36" s="59">
        <f>TTEST(AQ2:AQ32,AP2:AP32,2,1)</f>
        <v>8.3674601629685397E-16</v>
      </c>
      <c r="AR36" s="65"/>
      <c r="AS36" s="65"/>
      <c r="AT36" s="59">
        <f>TTEST(AT2:AT32,AS2:AS32,2,1)</f>
        <v>3.4707175285275022E-12</v>
      </c>
      <c r="AU36" s="65"/>
      <c r="AV36" s="65"/>
      <c r="AW36" s="59">
        <f>TTEST(AW2:AW32,AV2:AV32,2,1)</f>
        <v>1.1498324967456149E-19</v>
      </c>
      <c r="AX36" s="65"/>
      <c r="AY36" s="65"/>
      <c r="AZ36" s="65"/>
      <c r="BA36" s="59">
        <f>TTEST(BA2:BA32,AZ2:AZ32,2,1)</f>
        <v>3.9372082394672235E-2</v>
      </c>
      <c r="BB36" s="65"/>
      <c r="BC36" s="59">
        <f>TTEST(BC2:BC32,BB2:BB32,2,1)</f>
        <v>0.23809240191435677</v>
      </c>
      <c r="BD36" s="65"/>
      <c r="BE36" s="59">
        <f>TTEST(BE2:BE32,BD2:BD32,2,1)</f>
        <v>0.85646979884597807</v>
      </c>
      <c r="BF36" s="65"/>
      <c r="BG36" s="59">
        <f>TTEST(BG2:BG32,BF2:BF32,2,1)</f>
        <v>2.5147043718985606E-6</v>
      </c>
      <c r="BH36" s="65"/>
      <c r="BI36" s="65"/>
      <c r="BJ36" s="65"/>
      <c r="BK36" s="59">
        <f>TTEST(BK2:BK32,BJ2:BJ32,2,1)</f>
        <v>1.375865876358633E-3</v>
      </c>
      <c r="BL36" s="65"/>
      <c r="BM36" s="65"/>
      <c r="BN36" s="65"/>
      <c r="BO36" s="65"/>
      <c r="BP36" s="59">
        <f>TTEST(BP2:BP32,BO2:BO32,2,1)</f>
        <v>9.9008029358173225E-2</v>
      </c>
      <c r="BQ36" s="65"/>
      <c r="BR36" s="65"/>
      <c r="BS36" s="65"/>
      <c r="BT36" s="65"/>
      <c r="BU36" s="59">
        <f>TTEST(BU2:BU32,BT2:BT32,2,1)</f>
        <v>2.6934060455446702E-3</v>
      </c>
      <c r="BV36" s="65"/>
      <c r="BW36" s="66"/>
      <c r="BX36" s="65"/>
      <c r="BY36" s="65"/>
      <c r="BZ36" s="59">
        <f>TTEST(BZ2:BZ32,BY2:BY32,2,1)</f>
        <v>0.31438053676775518</v>
      </c>
      <c r="CA36" s="65"/>
      <c r="CB36" s="59">
        <f>TTEST(CB2:CB32,CA2:CA32,2,1)</f>
        <v>0.5129696852511203</v>
      </c>
      <c r="CC36" s="66"/>
      <c r="CD36" s="65"/>
      <c r="CE36" s="65"/>
      <c r="CF36" s="59">
        <f>TTEST(CF2:CF32,CE2:CE32,2,1)</f>
        <v>0.32997448951135699</v>
      </c>
      <c r="CG36" s="66"/>
      <c r="CH36" s="59">
        <f>TTEST(CH2:CH32,CG2:CG32,2,1)</f>
        <v>0.57283746134039526</v>
      </c>
      <c r="CI36" s="63"/>
      <c r="CJ36" s="63"/>
      <c r="CK36" s="63"/>
    </row>
    <row r="38" spans="1:89" s="60" customFormat="1" ht="15" customHeight="1" x14ac:dyDescent="0.25">
      <c r="A38" s="58"/>
      <c r="B38" s="58"/>
      <c r="C38" s="58" t="s">
        <v>121</v>
      </c>
      <c r="D38" s="59"/>
      <c r="E38" s="59"/>
      <c r="F38" s="59">
        <f>G34/(AVERAGE(E35:F35))</f>
        <v>-6.8785351549191701E-2</v>
      </c>
      <c r="G38" s="59"/>
      <c r="H38" s="59"/>
      <c r="I38" s="59">
        <f>J34/(AVERAGE(H35:I35))</f>
        <v>0.13337015229178359</v>
      </c>
      <c r="J38" s="59"/>
      <c r="K38" s="59"/>
      <c r="L38" s="59"/>
      <c r="M38" s="59">
        <f>N34/(AVERAGE(L35:M35))</f>
        <v>0.26736353431405407</v>
      </c>
      <c r="N38" s="59"/>
      <c r="O38" s="59"/>
      <c r="P38" s="59">
        <f>Q34/(AVERAGE(O35:P35))</f>
        <v>6.928072148720061E-3</v>
      </c>
      <c r="Q38" s="59"/>
      <c r="R38" s="59"/>
      <c r="S38" s="59">
        <f>T34/(AVERAGE(R35:S35))</f>
        <v>0.30265735012185624</v>
      </c>
      <c r="T38" s="59"/>
      <c r="U38" s="59"/>
      <c r="V38" s="59">
        <f>W34/(AVERAGE(U35:V35))</f>
        <v>0.83031976770371896</v>
      </c>
      <c r="W38" s="65"/>
      <c r="X38" s="65"/>
      <c r="Y38" s="59">
        <f>Z34/(AVERAGE(X35:Y35))</f>
        <v>0.63990095072372943</v>
      </c>
      <c r="Z38" s="65"/>
      <c r="AA38" s="65"/>
      <c r="AB38" s="65"/>
      <c r="AC38" s="65"/>
      <c r="AD38" s="65"/>
      <c r="AE38" s="59">
        <f>AF34/(AVERAGE(AD35:AE35))</f>
        <v>0.67124353756998223</v>
      </c>
      <c r="AF38" s="65"/>
      <c r="AG38" s="65"/>
      <c r="AH38" s="59">
        <f>AI34/(AVERAGE(AG35:AH35))</f>
        <v>4.0830717237324822E-2</v>
      </c>
      <c r="AI38" s="65"/>
      <c r="AJ38" s="65"/>
      <c r="AK38" s="59">
        <f>AL34/(AVERAGE(AJ35:AK35))</f>
        <v>0.28694759247984319</v>
      </c>
      <c r="AL38" s="65"/>
      <c r="AM38" s="65"/>
      <c r="AN38" s="59">
        <f>AO34/(AVERAGE(AM35:AN35))</f>
        <v>2.8351741010781046E-2</v>
      </c>
      <c r="AO38" s="65"/>
      <c r="AP38" s="65"/>
      <c r="AQ38" s="59">
        <f>AR34/(AVERAGE(AP35:AQ35))</f>
        <v>1.3662181328300234</v>
      </c>
      <c r="AR38" s="65"/>
      <c r="AS38" s="65"/>
      <c r="AT38" s="59">
        <f>AU34/(AVERAGE(AS35:AT35))</f>
        <v>0.6962373263770677</v>
      </c>
      <c r="AU38" s="65"/>
      <c r="AV38" s="65"/>
      <c r="AW38" s="59">
        <f>AX34/(AVERAGE(AV35:AW35))</f>
        <v>1.4666068700231523</v>
      </c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59">
        <f>BL34/(AVERAGE(BJ35:BK35))</f>
        <v>0.55932295915746499</v>
      </c>
      <c r="BL38" s="65"/>
      <c r="BM38" s="65"/>
      <c r="BN38" s="65"/>
      <c r="BO38" s="65"/>
      <c r="BP38" s="59">
        <f>BQ34/(AVERAGE(BO35:BP35))</f>
        <v>0.24106498344019958</v>
      </c>
      <c r="BQ38" s="65"/>
      <c r="BR38" s="65"/>
      <c r="BS38" s="65"/>
      <c r="BT38" s="65"/>
      <c r="BU38" s="59">
        <f>BV34/(AVERAGE(BT35:BU35))</f>
        <v>0.53102182274919774</v>
      </c>
      <c r="BV38" s="65"/>
      <c r="BW38" s="66"/>
      <c r="BX38" s="65"/>
      <c r="BY38" s="65"/>
      <c r="BZ38" s="65"/>
      <c r="CA38" s="65"/>
      <c r="CB38" s="65"/>
      <c r="CC38" s="66"/>
      <c r="CD38" s="65"/>
      <c r="CE38" s="65"/>
      <c r="CF38" s="65"/>
      <c r="CG38" s="66"/>
      <c r="CH38" s="65"/>
      <c r="CI38" s="63"/>
      <c r="CJ38" s="63"/>
      <c r="CK38" s="63"/>
    </row>
    <row r="40" spans="1:89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T40" s="1"/>
      <c r="U40" s="1"/>
    </row>
    <row r="41" spans="1:8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T41" s="1"/>
      <c r="U41" s="1"/>
      <c r="BV41" s="64"/>
      <c r="BW41" s="2"/>
      <c r="CB41" s="64"/>
      <c r="CC41" s="2"/>
      <c r="CF41" s="64"/>
      <c r="CG41" s="2"/>
      <c r="CH41" s="64"/>
      <c r="CK41" s="2"/>
    </row>
    <row r="42" spans="1:8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T42" s="1"/>
      <c r="U42" s="1"/>
      <c r="BV42" s="64"/>
      <c r="BW42" s="2"/>
      <c r="CB42" s="64"/>
      <c r="CC42" s="2"/>
      <c r="CF42" s="64"/>
      <c r="CG42" s="2"/>
      <c r="CH42" s="64"/>
      <c r="CK42" s="2"/>
    </row>
    <row r="43" spans="1:8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T43" s="1"/>
      <c r="U43" s="1"/>
      <c r="BV43" s="64"/>
      <c r="BW43" s="2"/>
      <c r="CB43" s="64"/>
      <c r="CC43" s="2"/>
      <c r="CF43" s="64"/>
      <c r="CG43" s="2"/>
      <c r="CH43" s="64"/>
      <c r="CK43" s="2"/>
    </row>
    <row r="44" spans="1:8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T44" s="1"/>
      <c r="U44" s="1"/>
      <c r="BV44" s="64"/>
      <c r="BW44" s="2"/>
      <c r="CB44" s="64"/>
      <c r="CC44" s="2"/>
      <c r="CF44" s="64"/>
      <c r="CG44" s="2"/>
      <c r="CH44" s="64"/>
      <c r="CK44" s="2"/>
    </row>
    <row r="45" spans="1:8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T45" s="1"/>
      <c r="U45" s="1"/>
      <c r="BV45" s="64"/>
      <c r="BW45" s="2"/>
      <c r="CB45" s="64"/>
      <c r="CC45" s="2"/>
      <c r="CF45" s="64"/>
      <c r="CG45" s="2"/>
      <c r="CH45" s="64"/>
      <c r="CK45" s="2"/>
    </row>
    <row r="46" spans="1:8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T46" s="1"/>
      <c r="U46" s="1"/>
      <c r="BV46" s="64"/>
      <c r="BW46" s="2"/>
      <c r="CB46" s="64"/>
      <c r="CC46" s="2"/>
      <c r="CF46" s="64"/>
      <c r="CG46" s="2"/>
      <c r="CH46" s="64"/>
      <c r="CK46" s="2"/>
    </row>
    <row r="47" spans="1:8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T47" s="1"/>
      <c r="U47" s="1"/>
      <c r="BV47" s="64"/>
      <c r="BW47" s="2"/>
      <c r="CB47" s="64"/>
      <c r="CC47" s="2"/>
      <c r="CF47" s="64"/>
      <c r="CG47" s="2"/>
      <c r="CH47" s="64"/>
      <c r="CK47" s="2"/>
    </row>
    <row r="48" spans="1:8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T48" s="1"/>
      <c r="U48" s="1"/>
      <c r="BV48" s="64"/>
      <c r="BW48" s="2"/>
      <c r="CB48" s="64"/>
      <c r="CC48" s="2"/>
      <c r="CF48" s="64"/>
      <c r="CG48" s="2"/>
      <c r="CH48" s="64"/>
      <c r="CK48" s="2"/>
    </row>
    <row r="49" spans="1:8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T49" s="1"/>
      <c r="U49" s="1"/>
      <c r="BV49" s="64"/>
      <c r="BW49" s="2"/>
      <c r="CB49" s="64"/>
      <c r="CC49" s="2"/>
      <c r="CF49" s="64"/>
      <c r="CG49" s="2"/>
      <c r="CH49" s="64"/>
      <c r="CK49" s="2"/>
    </row>
    <row r="50" spans="1:8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T50" s="1"/>
      <c r="U50" s="1"/>
      <c r="BV50" s="64"/>
      <c r="BW50" s="2"/>
      <c r="CB50" s="64"/>
      <c r="CC50" s="2"/>
      <c r="CF50" s="64"/>
      <c r="CG50" s="2"/>
      <c r="CH50" s="64"/>
      <c r="CK50" s="2"/>
    </row>
    <row r="51" spans="1:8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T51" s="1"/>
      <c r="U51" s="1"/>
      <c r="BV51" s="64"/>
      <c r="BW51" s="2"/>
      <c r="CB51" s="64"/>
      <c r="CC51" s="2"/>
      <c r="CF51" s="64"/>
      <c r="CG51" s="2"/>
      <c r="CH51" s="64"/>
      <c r="CK51" s="2"/>
    </row>
    <row r="52" spans="1:8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T52" s="1"/>
      <c r="U52" s="1"/>
      <c r="BV52" s="64"/>
      <c r="BW52" s="2"/>
      <c r="CB52" s="64"/>
      <c r="CC52" s="2"/>
      <c r="CF52" s="64"/>
      <c r="CG52" s="2"/>
      <c r="CH52" s="64"/>
      <c r="CK52" s="2"/>
    </row>
    <row r="53" spans="1:8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T53" s="1"/>
      <c r="U53" s="1"/>
      <c r="BV53" s="64"/>
      <c r="BW53" s="2"/>
      <c r="CB53" s="64"/>
      <c r="CC53" s="2"/>
      <c r="CF53" s="64"/>
      <c r="CG53" s="2"/>
      <c r="CH53" s="64"/>
      <c r="CK53" s="2"/>
    </row>
    <row r="54" spans="1:8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T54" s="1"/>
      <c r="U54" s="1"/>
      <c r="BV54" s="64"/>
      <c r="BW54" s="2"/>
      <c r="CB54" s="64"/>
      <c r="CC54" s="2"/>
      <c r="CF54" s="64"/>
      <c r="CG54" s="2"/>
      <c r="CH54" s="64"/>
      <c r="CK54" s="2"/>
    </row>
    <row r="55" spans="1:8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T55" s="1"/>
      <c r="U55" s="1"/>
      <c r="BV55" s="64"/>
      <c r="BW55" s="2"/>
      <c r="CB55" s="64"/>
      <c r="CC55" s="2"/>
      <c r="CF55" s="64"/>
      <c r="CG55" s="2"/>
      <c r="CH55" s="64"/>
      <c r="CK55" s="2"/>
    </row>
    <row r="56" spans="1:8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T56" s="1"/>
      <c r="U56" s="1"/>
      <c r="BV56" s="64"/>
      <c r="BW56" s="2"/>
      <c r="CB56" s="64"/>
      <c r="CC56" s="2"/>
      <c r="CF56" s="64"/>
      <c r="CG56" s="2"/>
      <c r="CH56" s="64"/>
      <c r="CK56" s="2"/>
    </row>
    <row r="57" spans="1:8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T57" s="1"/>
      <c r="U57" s="1"/>
      <c r="BV57" s="64"/>
      <c r="BW57" s="2"/>
      <c r="CB57" s="64"/>
      <c r="CC57" s="2"/>
      <c r="CF57" s="64"/>
      <c r="CG57" s="2"/>
      <c r="CH57" s="64"/>
      <c r="CK57" s="2"/>
    </row>
    <row r="58" spans="1:8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T58" s="1"/>
      <c r="U58" s="1"/>
      <c r="BV58" s="64"/>
      <c r="BW58" s="2"/>
      <c r="CB58" s="64"/>
      <c r="CC58" s="2"/>
      <c r="CF58" s="64"/>
      <c r="CG58" s="2"/>
      <c r="CH58" s="64"/>
      <c r="CK58" s="2"/>
    </row>
    <row r="59" spans="1:89" x14ac:dyDescent="0.25">
      <c r="A59" s="3" t="s">
        <v>13</v>
      </c>
      <c r="B59" s="1" t="s">
        <v>2</v>
      </c>
      <c r="C59" s="1">
        <v>1</v>
      </c>
      <c r="D59" s="4">
        <v>20.23747749</v>
      </c>
      <c r="E59" s="4">
        <f>(O59/H59)*100</f>
        <v>26.851851851851855</v>
      </c>
      <c r="F59" s="4">
        <f>(P59/I59)*100</f>
        <v>26.224489795918366</v>
      </c>
      <c r="G59" s="4"/>
      <c r="H59" s="4">
        <v>97.2</v>
      </c>
      <c r="I59" s="4">
        <v>98</v>
      </c>
      <c r="J59" s="4">
        <f>I59-H59</f>
        <v>0.79999999999999716</v>
      </c>
      <c r="K59" s="5">
        <v>22</v>
      </c>
      <c r="L59" s="4">
        <v>66.3</v>
      </c>
      <c r="M59" s="4">
        <v>68.400000000000006</v>
      </c>
      <c r="N59" s="4">
        <f>M59-L59</f>
        <v>2.1000000000000085</v>
      </c>
      <c r="O59" s="4">
        <v>26.1</v>
      </c>
      <c r="P59" s="4">
        <v>25.7</v>
      </c>
      <c r="Q59" s="4"/>
      <c r="T59" s="4"/>
      <c r="U59" s="4">
        <v>1.37</v>
      </c>
      <c r="V59" s="4">
        <v>2.66</v>
      </c>
      <c r="W59" s="4">
        <f>V59-U59</f>
        <v>1.29</v>
      </c>
      <c r="X59" s="4">
        <v>154.0224</v>
      </c>
      <c r="Y59" s="4">
        <v>202.7552</v>
      </c>
      <c r="Z59" s="4">
        <f>Y59-X59</f>
        <v>48.732799999999997</v>
      </c>
      <c r="AA59" s="5">
        <v>75.822497670000004</v>
      </c>
      <c r="AB59" s="5">
        <v>79.472550243839393</v>
      </c>
      <c r="AC59" s="5"/>
      <c r="AD59" s="5">
        <v>140.51679999999999</v>
      </c>
      <c r="AE59" s="5">
        <v>180.1584</v>
      </c>
      <c r="AF59" s="5">
        <f>AE59-AD59</f>
        <v>39.641600000000011</v>
      </c>
      <c r="AG59" s="5">
        <v>78.438400000000001</v>
      </c>
      <c r="AH59" s="5">
        <v>94.9392</v>
      </c>
      <c r="AI59" s="5"/>
      <c r="AJ59" s="5">
        <v>13.505599999999999</v>
      </c>
      <c r="AK59" s="5">
        <v>22.596800000000002</v>
      </c>
      <c r="AL59" s="5"/>
      <c r="AM59" s="5">
        <v>72.945599999999999</v>
      </c>
      <c r="AN59" s="5">
        <v>87.612799999999993</v>
      </c>
      <c r="AO59" s="5"/>
      <c r="AP59" s="5">
        <v>267.69509981851178</v>
      </c>
      <c r="AQ59" s="5">
        <v>382.03266787658799</v>
      </c>
      <c r="AR59" s="5">
        <f>AQ59-AP59</f>
        <v>114.33756805807622</v>
      </c>
      <c r="AS59" s="5">
        <v>117.05989110707803</v>
      </c>
      <c r="AT59" s="5">
        <v>124.31941923774954</v>
      </c>
      <c r="AU59" s="5">
        <f>AT59-AS59</f>
        <v>7.2595281306715123</v>
      </c>
      <c r="AV59" s="5">
        <v>168.33030852994554</v>
      </c>
      <c r="AW59" s="5">
        <v>256.35208711433756</v>
      </c>
      <c r="AX59" s="5">
        <f>AW59-AV59</f>
        <v>88.021778584392024</v>
      </c>
      <c r="AY59" s="5">
        <v>357062.18</v>
      </c>
      <c r="AZ59" s="5">
        <v>2326.7666669999999</v>
      </c>
      <c r="BA59" s="5">
        <v>1944.6125</v>
      </c>
      <c r="BB59" s="5">
        <v>148.81</v>
      </c>
      <c r="BC59" s="5">
        <v>156.5325</v>
      </c>
      <c r="BD59" s="5">
        <v>160.6</v>
      </c>
      <c r="BE59" s="5">
        <v>115.065</v>
      </c>
      <c r="BF59" s="5">
        <v>1086.413333</v>
      </c>
      <c r="BG59" s="5">
        <v>92.3125</v>
      </c>
      <c r="BH59" s="5">
        <v>14.036666670000001</v>
      </c>
      <c r="BI59" s="5">
        <v>8.09</v>
      </c>
      <c r="BJ59" s="5">
        <v>6413.5577892923066</v>
      </c>
      <c r="BK59" s="5">
        <v>6770.0742821265803</v>
      </c>
      <c r="BL59" s="5">
        <f>BK59-BJ59</f>
        <v>356.51649283427378</v>
      </c>
      <c r="BM59" s="5">
        <v>65</v>
      </c>
      <c r="BN59" s="5">
        <v>79</v>
      </c>
      <c r="BO59" s="5">
        <v>4611.9950375652161</v>
      </c>
      <c r="BP59" s="5">
        <v>3854.308773230769</v>
      </c>
      <c r="BQ59" s="5">
        <f>BP59-BO59</f>
        <v>-757.68626433444706</v>
      </c>
      <c r="BR59" s="5">
        <v>46</v>
      </c>
      <c r="BS59" s="5">
        <v>52</v>
      </c>
      <c r="BT59" s="5">
        <f>((BJ59*BM59)+(BO59*BR59))/(BM59+BR59)</f>
        <v>5666.9642165045034</v>
      </c>
      <c r="BU59" s="5">
        <f>((BK59*BN59)+(BP59*BS59))/(BN59+BS59)</f>
        <v>5612.6711793587783</v>
      </c>
      <c r="BV59" s="5">
        <f>BU59-BT59</f>
        <v>-54.293037145725066</v>
      </c>
      <c r="BW59" s="5">
        <v>66.948815316166048</v>
      </c>
      <c r="BX59" s="5">
        <v>80.96106475008871</v>
      </c>
      <c r="BY59" s="5">
        <v>1.2615384615384615</v>
      </c>
      <c r="BZ59" s="5">
        <v>0.86075949367088611</v>
      </c>
      <c r="CA59" s="5">
        <v>5083.9177598048773</v>
      </c>
      <c r="CB59" s="5">
        <v>7865.2333571764684</v>
      </c>
      <c r="CC59" s="5">
        <v>57.11512279068625</v>
      </c>
      <c r="CD59" s="5">
        <v>59.2546826919097</v>
      </c>
      <c r="CE59" s="5">
        <v>1.5869565217391304</v>
      </c>
      <c r="CF59" s="5">
        <v>0.42307692307692307</v>
      </c>
      <c r="CG59" s="5">
        <v>2906.1886538082185</v>
      </c>
      <c r="CH59" s="5">
        <v>9110.1843730909095</v>
      </c>
    </row>
    <row r="60" spans="1:8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T60" s="1"/>
      <c r="U60" s="1"/>
      <c r="BV60" s="64"/>
      <c r="BW60" s="2"/>
      <c r="CB60" s="64"/>
      <c r="CC60" s="2"/>
      <c r="CF60" s="64"/>
      <c r="CG60" s="2"/>
      <c r="CH60" s="64"/>
      <c r="CK60" s="2"/>
    </row>
    <row r="61" spans="1:8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T61" s="1"/>
      <c r="U61" s="1"/>
      <c r="BV61" s="64"/>
      <c r="BW61" s="2"/>
      <c r="CB61" s="64"/>
      <c r="CC61" s="2"/>
      <c r="CF61" s="64"/>
      <c r="CG61" s="2"/>
      <c r="CH61" s="64"/>
      <c r="CK61" s="2"/>
    </row>
    <row r="62" spans="1:8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T62" s="1"/>
      <c r="U62" s="1"/>
      <c r="BV62" s="64"/>
      <c r="BW62" s="2"/>
      <c r="CB62" s="64"/>
      <c r="CC62" s="2"/>
      <c r="CF62" s="64"/>
      <c r="CG62" s="2"/>
      <c r="CH62" s="64"/>
      <c r="CK62" s="2"/>
    </row>
    <row r="63" spans="1:8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T63" s="1"/>
      <c r="U63" s="1"/>
      <c r="BV63" s="64"/>
      <c r="BW63" s="2"/>
      <c r="CB63" s="64"/>
      <c r="CC63" s="2"/>
      <c r="CF63" s="64"/>
      <c r="CG63" s="2"/>
      <c r="CH63" s="64"/>
      <c r="CK63" s="2"/>
    </row>
    <row r="64" spans="1:8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T64" s="1"/>
      <c r="U64" s="1"/>
      <c r="BV64" s="64"/>
      <c r="BW64" s="2"/>
      <c r="CB64" s="64"/>
      <c r="CC64" s="2"/>
      <c r="CF64" s="64"/>
      <c r="CG64" s="2"/>
      <c r="CH64" s="64"/>
      <c r="CK64" s="2"/>
    </row>
    <row r="65" spans="1:8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T65" s="1"/>
      <c r="U65" s="1"/>
      <c r="BV65" s="64"/>
      <c r="BW65" s="2"/>
      <c r="CB65" s="64"/>
      <c r="CC65" s="2"/>
      <c r="CF65" s="64"/>
      <c r="CG65" s="2"/>
      <c r="CH65" s="64"/>
      <c r="CK65" s="2"/>
    </row>
    <row r="66" spans="1:8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T66" s="1"/>
      <c r="U66" s="1"/>
      <c r="BV66" s="64"/>
      <c r="BW66" s="2"/>
      <c r="CB66" s="64"/>
      <c r="CC66" s="2"/>
      <c r="CF66" s="64"/>
      <c r="CG66" s="2"/>
      <c r="CH66" s="64"/>
      <c r="CK66" s="2"/>
    </row>
    <row r="67" spans="1:8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T67" s="1"/>
      <c r="U67" s="1"/>
      <c r="BV67" s="64"/>
      <c r="BW67" s="2"/>
      <c r="CB67" s="64"/>
      <c r="CC67" s="2"/>
      <c r="CF67" s="64"/>
      <c r="CG67" s="2"/>
      <c r="CH67" s="64"/>
      <c r="CK67" s="2"/>
    </row>
    <row r="68" spans="1:8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T68" s="1"/>
      <c r="U68" s="1"/>
      <c r="BV68" s="64"/>
      <c r="BW68" s="2"/>
      <c r="CB68" s="64"/>
      <c r="CC68" s="2"/>
      <c r="CF68" s="64"/>
      <c r="CG68" s="2"/>
      <c r="CH68" s="64"/>
      <c r="CK68" s="2"/>
    </row>
    <row r="69" spans="1:8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BV69" s="64"/>
      <c r="BW69" s="2"/>
      <c r="CB69" s="64"/>
      <c r="CC69" s="2"/>
      <c r="CF69" s="64"/>
      <c r="CG69" s="2"/>
      <c r="CH69" s="64"/>
      <c r="CK69" s="2"/>
    </row>
    <row r="70" spans="1:8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BV70" s="64"/>
      <c r="BW70" s="2"/>
      <c r="CB70" s="64"/>
      <c r="CC70" s="2"/>
      <c r="CF70" s="64"/>
      <c r="CG70" s="2"/>
      <c r="CH70" s="64"/>
      <c r="CK70" s="2"/>
    </row>
    <row r="71" spans="1:8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BV71" s="64"/>
      <c r="BW71" s="2"/>
      <c r="CB71" s="64"/>
      <c r="CC71" s="2"/>
      <c r="CF71" s="64"/>
      <c r="CG71" s="2"/>
      <c r="CH71" s="64"/>
      <c r="CK71" s="2"/>
    </row>
    <row r="72" spans="1:8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BV72" s="64"/>
      <c r="BW72" s="2"/>
      <c r="CB72" s="64"/>
      <c r="CC72" s="2"/>
      <c r="CF72" s="64"/>
      <c r="CG72" s="2"/>
      <c r="CH72" s="64"/>
      <c r="CK72" s="2"/>
    </row>
    <row r="73" spans="1:8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BV73" s="64"/>
      <c r="BW73" s="2"/>
      <c r="CB73" s="64"/>
      <c r="CC73" s="2"/>
      <c r="CF73" s="64"/>
      <c r="CG73" s="2"/>
      <c r="CH73" s="64"/>
      <c r="CK73" s="2"/>
    </row>
    <row r="74" spans="1:89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BV74" s="64"/>
      <c r="BW74" s="2"/>
      <c r="CB74" s="64"/>
      <c r="CC74" s="2"/>
      <c r="CF74" s="64"/>
      <c r="CG74" s="2"/>
      <c r="CH74" s="64"/>
      <c r="CK74" s="2"/>
    </row>
    <row r="75" spans="1:89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BV75" s="64"/>
      <c r="BW75" s="2"/>
      <c r="CB75" s="64"/>
      <c r="CC75" s="2"/>
      <c r="CF75" s="64"/>
      <c r="CG75" s="2"/>
      <c r="CH75" s="64"/>
      <c r="CK75" s="2"/>
    </row>
    <row r="76" spans="1:89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BV76" s="64"/>
      <c r="BW76" s="2"/>
      <c r="CB76" s="64"/>
      <c r="CC76" s="2"/>
      <c r="CF76" s="64"/>
      <c r="CG76" s="2"/>
      <c r="CH76" s="64"/>
      <c r="CK76" s="2"/>
    </row>
    <row r="77" spans="1:89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BV77" s="64"/>
      <c r="BW77" s="2"/>
      <c r="CB77" s="64"/>
      <c r="CC77" s="2"/>
      <c r="CF77" s="64"/>
      <c r="CG77" s="2"/>
      <c r="CH77" s="64"/>
      <c r="CK77" s="2"/>
    </row>
    <row r="78" spans="1:89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BV78" s="64"/>
      <c r="BW78" s="2"/>
      <c r="CB78" s="64"/>
      <c r="CC78" s="2"/>
      <c r="CF78" s="64"/>
      <c r="CG78" s="2"/>
      <c r="CH78" s="64"/>
      <c r="CK78" s="2"/>
    </row>
    <row r="79" spans="1:89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BV79" s="64"/>
      <c r="BW79" s="2"/>
      <c r="CB79" s="64"/>
      <c r="CC79" s="2"/>
      <c r="CF79" s="64"/>
      <c r="CG79" s="2"/>
      <c r="CH79" s="64"/>
      <c r="CK79" s="2"/>
    </row>
    <row r="80" spans="1:89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BV80" s="64"/>
      <c r="BW80" s="2"/>
      <c r="CB80" s="64"/>
      <c r="CC80" s="2"/>
      <c r="CF80" s="64"/>
      <c r="CG80" s="2"/>
      <c r="CH80" s="64"/>
      <c r="CK80" s="2"/>
    </row>
    <row r="81" spans="1:89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BV81" s="64"/>
      <c r="BW81" s="2"/>
      <c r="CB81" s="64"/>
      <c r="CC81" s="2"/>
      <c r="CF81" s="64"/>
      <c r="CG81" s="2"/>
      <c r="CH81" s="64"/>
      <c r="CK81" s="2"/>
    </row>
    <row r="82" spans="1:89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BV82" s="64"/>
      <c r="BW82" s="2"/>
      <c r="CB82" s="64"/>
      <c r="CC82" s="2"/>
      <c r="CF82" s="64"/>
      <c r="CG82" s="2"/>
      <c r="CH82" s="64"/>
      <c r="CK82" s="2"/>
    </row>
    <row r="83" spans="1:89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BV83" s="64"/>
      <c r="BW83" s="2"/>
      <c r="CB83" s="64"/>
      <c r="CC83" s="2"/>
      <c r="CF83" s="64"/>
      <c r="CG83" s="2"/>
      <c r="CH83" s="64"/>
      <c r="CK83" s="2"/>
    </row>
    <row r="84" spans="1:89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BV84" s="64"/>
      <c r="BW84" s="2"/>
      <c r="CB84" s="64"/>
      <c r="CC84" s="2"/>
      <c r="CF84" s="64"/>
      <c r="CG84" s="2"/>
      <c r="CH84" s="64"/>
      <c r="CK84" s="2"/>
    </row>
    <row r="85" spans="1:89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BV85" s="64"/>
      <c r="BW85" s="2"/>
      <c r="CB85" s="64"/>
      <c r="CC85" s="2"/>
      <c r="CF85" s="64"/>
      <c r="CG85" s="2"/>
      <c r="CH85" s="64"/>
      <c r="CK85" s="2"/>
    </row>
    <row r="86" spans="1:89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BV86" s="64"/>
      <c r="BW86" s="2"/>
      <c r="CB86" s="64"/>
      <c r="CC86" s="2"/>
      <c r="CF86" s="64"/>
      <c r="CG86" s="2"/>
      <c r="CH86" s="64"/>
      <c r="CK86" s="2"/>
    </row>
    <row r="87" spans="1:89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BV87" s="64"/>
      <c r="BW87" s="2"/>
      <c r="CB87" s="64"/>
      <c r="CC87" s="2"/>
      <c r="CF87" s="64"/>
      <c r="CG87" s="2"/>
      <c r="CH87" s="64"/>
      <c r="CK87" s="2"/>
    </row>
    <row r="88" spans="1:89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BV88" s="64"/>
      <c r="BW88" s="2"/>
      <c r="CB88" s="64"/>
      <c r="CC88" s="2"/>
      <c r="CF88" s="64"/>
      <c r="CG88" s="2"/>
      <c r="CH88" s="64"/>
      <c r="CK88" s="2"/>
    </row>
    <row r="89" spans="1:89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BV89" s="64"/>
      <c r="BW89" s="2"/>
      <c r="CB89" s="64"/>
      <c r="CC89" s="2"/>
      <c r="CF89" s="64"/>
      <c r="CG89" s="2"/>
      <c r="CH89" s="64"/>
      <c r="CK89" s="2"/>
    </row>
    <row r="90" spans="1:89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BV90" s="64"/>
      <c r="BW90" s="2"/>
      <c r="CB90" s="64"/>
      <c r="CC90" s="2"/>
      <c r="CF90" s="64"/>
      <c r="CG90" s="2"/>
      <c r="CH90" s="64"/>
      <c r="CK90" s="2"/>
    </row>
    <row r="91" spans="1:89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BV91" s="64"/>
      <c r="BW91" s="2"/>
      <c r="CB91" s="64"/>
      <c r="CC91" s="2"/>
      <c r="CF91" s="64"/>
      <c r="CG91" s="2"/>
      <c r="CH91" s="64"/>
      <c r="CK91" s="2"/>
    </row>
    <row r="92" spans="1:89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BV92" s="64"/>
      <c r="BW92" s="2"/>
      <c r="CB92" s="64"/>
      <c r="CC92" s="2"/>
      <c r="CF92" s="64"/>
      <c r="CG92" s="2"/>
      <c r="CH92" s="64"/>
      <c r="CK92" s="2"/>
    </row>
    <row r="93" spans="1:89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BV93" s="64"/>
      <c r="BW93" s="2"/>
      <c r="CB93" s="64"/>
      <c r="CC93" s="2"/>
      <c r="CF93" s="64"/>
      <c r="CG93" s="2"/>
      <c r="CH93" s="64"/>
      <c r="CK93" s="2"/>
    </row>
    <row r="94" spans="1:89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BV94" s="64"/>
      <c r="BW94" s="2"/>
      <c r="CB94" s="64"/>
      <c r="CC94" s="2"/>
      <c r="CF94" s="64"/>
      <c r="CG94" s="2"/>
      <c r="CH94" s="64"/>
      <c r="CK94" s="2"/>
    </row>
    <row r="95" spans="1:89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BV95" s="64"/>
      <c r="BW95" s="2"/>
      <c r="CB95" s="64"/>
      <c r="CC95" s="2"/>
      <c r="CF95" s="64"/>
      <c r="CG95" s="2"/>
      <c r="CH95" s="64"/>
      <c r="CK95" s="2"/>
    </row>
    <row r="96" spans="1:89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BV96" s="64"/>
      <c r="BW96" s="2"/>
      <c r="CB96" s="64"/>
      <c r="CC96" s="2"/>
      <c r="CF96" s="64"/>
      <c r="CG96" s="2"/>
      <c r="CH96" s="64"/>
      <c r="CK96" s="2"/>
    </row>
    <row r="97" spans="1:89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BV97" s="64"/>
      <c r="BW97" s="2"/>
      <c r="CB97" s="64"/>
      <c r="CC97" s="2"/>
      <c r="CF97" s="64"/>
      <c r="CG97" s="2"/>
      <c r="CH97" s="64"/>
      <c r="CK97" s="2"/>
    </row>
    <row r="98" spans="1:89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BV98" s="64"/>
      <c r="BW98" s="2"/>
      <c r="CB98" s="64"/>
      <c r="CC98" s="2"/>
      <c r="CF98" s="64"/>
      <c r="CG98" s="2"/>
      <c r="CH98" s="64"/>
      <c r="CK98" s="2"/>
    </row>
    <row r="99" spans="1:89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BV99" s="64"/>
      <c r="BW99" s="2"/>
      <c r="CB99" s="64"/>
      <c r="CC99" s="2"/>
      <c r="CF99" s="64"/>
      <c r="CG99" s="2"/>
      <c r="CH99" s="64"/>
      <c r="CK99" s="2"/>
    </row>
    <row r="100" spans="1:89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BV100" s="64"/>
      <c r="BW100" s="2"/>
      <c r="CB100" s="64"/>
      <c r="CC100" s="2"/>
      <c r="CF100" s="64"/>
      <c r="CG100" s="2"/>
      <c r="CH100" s="64"/>
      <c r="CK100" s="2"/>
    </row>
    <row r="101" spans="1:89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BV101" s="64"/>
      <c r="BW101" s="2"/>
      <c r="CB101" s="64"/>
      <c r="CC101" s="2"/>
      <c r="CF101" s="64"/>
      <c r="CG101" s="2"/>
      <c r="CH101" s="64"/>
      <c r="CK101" s="2"/>
    </row>
    <row r="102" spans="1:89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BV102" s="64"/>
      <c r="BW102" s="2"/>
      <c r="CB102" s="64"/>
      <c r="CC102" s="2"/>
      <c r="CF102" s="64"/>
      <c r="CG102" s="2"/>
      <c r="CH102" s="64"/>
      <c r="CK102" s="2"/>
    </row>
    <row r="103" spans="1:89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BV103" s="64"/>
      <c r="BW103" s="2"/>
      <c r="CB103" s="64"/>
      <c r="CC103" s="2"/>
      <c r="CF103" s="64"/>
      <c r="CG103" s="2"/>
      <c r="CH103" s="64"/>
      <c r="CK103" s="2"/>
    </row>
    <row r="104" spans="1:89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BV104" s="64"/>
      <c r="BW104" s="2"/>
      <c r="CB104" s="64"/>
      <c r="CC104" s="2"/>
      <c r="CF104" s="64"/>
      <c r="CG104" s="2"/>
      <c r="CH104" s="64"/>
      <c r="CK104" s="2"/>
    </row>
    <row r="105" spans="1:89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BV105" s="64"/>
      <c r="BW105" s="2"/>
      <c r="CB105" s="64"/>
      <c r="CC105" s="2"/>
      <c r="CF105" s="64"/>
      <c r="CG105" s="2"/>
      <c r="CH105" s="64"/>
      <c r="CK105" s="2"/>
    </row>
    <row r="106" spans="1:89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BV106" s="64"/>
      <c r="BW106" s="2"/>
      <c r="CB106" s="64"/>
      <c r="CC106" s="2"/>
      <c r="CF106" s="64"/>
      <c r="CG106" s="2"/>
      <c r="CH106" s="64"/>
      <c r="CK106" s="2"/>
    </row>
    <row r="107" spans="1:89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BV107" s="64"/>
      <c r="BW107" s="2"/>
      <c r="CB107" s="64"/>
      <c r="CC107" s="2"/>
      <c r="CF107" s="64"/>
      <c r="CG107" s="2"/>
      <c r="CH107" s="64"/>
      <c r="CK107" s="2"/>
    </row>
    <row r="108" spans="1:89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BV108" s="64"/>
      <c r="BW108" s="2"/>
      <c r="CB108" s="64"/>
      <c r="CC108" s="2"/>
      <c r="CF108" s="64"/>
      <c r="CG108" s="2"/>
      <c r="CH108" s="64"/>
      <c r="CK108" s="2"/>
    </row>
    <row r="109" spans="1:89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BV109" s="64"/>
      <c r="BW109" s="2"/>
      <c r="CB109" s="64"/>
      <c r="CC109" s="2"/>
      <c r="CF109" s="64"/>
      <c r="CG109" s="2"/>
      <c r="CH109" s="64"/>
      <c r="CK109" s="2"/>
    </row>
    <row r="110" spans="1:89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BV110" s="64"/>
      <c r="BW110" s="2"/>
      <c r="CB110" s="64"/>
      <c r="CC110" s="2"/>
      <c r="CF110" s="64"/>
      <c r="CG110" s="2"/>
      <c r="CH110" s="64"/>
      <c r="CK110" s="2"/>
    </row>
    <row r="111" spans="1:89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BV111" s="64"/>
      <c r="BW111" s="2"/>
      <c r="CB111" s="64"/>
      <c r="CC111" s="2"/>
      <c r="CF111" s="64"/>
      <c r="CG111" s="2"/>
      <c r="CH111" s="64"/>
      <c r="CK111" s="2"/>
    </row>
    <row r="112" spans="1:89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BV112" s="64"/>
      <c r="BW112" s="2"/>
      <c r="CB112" s="64"/>
      <c r="CC112" s="2"/>
      <c r="CF112" s="64"/>
      <c r="CG112" s="2"/>
      <c r="CH112" s="64"/>
      <c r="CK112" s="2"/>
    </row>
    <row r="113" spans="1:89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BV113" s="64"/>
      <c r="BW113" s="2"/>
      <c r="CB113" s="64"/>
      <c r="CC113" s="2"/>
      <c r="CF113" s="64"/>
      <c r="CG113" s="2"/>
      <c r="CH113" s="64"/>
      <c r="CK113" s="2"/>
    </row>
    <row r="114" spans="1:89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BV114" s="64"/>
      <c r="BW114" s="2"/>
      <c r="CB114" s="64"/>
      <c r="CC114" s="2"/>
      <c r="CF114" s="64"/>
      <c r="CG114" s="2"/>
      <c r="CH114" s="64"/>
      <c r="CK114" s="2"/>
    </row>
    <row r="115" spans="1:89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BV115" s="64"/>
      <c r="BW115" s="2"/>
      <c r="CB115" s="64"/>
      <c r="CC115" s="2"/>
      <c r="CF115" s="64"/>
      <c r="CG115" s="2"/>
      <c r="CH115" s="64"/>
      <c r="CK115" s="2"/>
    </row>
    <row r="116" spans="1:89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BV116" s="64"/>
      <c r="BW116" s="2"/>
      <c r="CB116" s="64"/>
      <c r="CC116" s="2"/>
      <c r="CF116" s="64"/>
      <c r="CG116" s="2"/>
      <c r="CH116" s="64"/>
      <c r="CK116" s="2"/>
    </row>
    <row r="117" spans="1:89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BV117" s="64"/>
      <c r="BW117" s="2"/>
      <c r="CB117" s="64"/>
      <c r="CC117" s="2"/>
      <c r="CF117" s="64"/>
      <c r="CG117" s="2"/>
      <c r="CH117" s="64"/>
      <c r="CK117" s="2"/>
    </row>
    <row r="118" spans="1:89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89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89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89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89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89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89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89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89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89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89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</sheetData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tabSelected="1" workbookViewId="0">
      <selection activeCell="C16" sqref="C16"/>
    </sheetView>
  </sheetViews>
  <sheetFormatPr defaultColWidth="9.140625" defaultRowHeight="14.25" x14ac:dyDescent="0.2"/>
  <cols>
    <col min="1" max="1" width="19.42578125" style="7" customWidth="1"/>
    <col min="2" max="2" width="17.85546875" style="2" customWidth="1"/>
    <col min="3" max="3" width="17.7109375" style="2" customWidth="1"/>
    <col min="4" max="4" width="9.140625" style="6"/>
    <col min="5" max="5" width="18.28515625" style="6" bestFit="1" customWidth="1"/>
    <col min="6" max="6" width="15.140625" style="6" customWidth="1"/>
    <col min="7" max="7" width="16.5703125" style="6" customWidth="1"/>
    <col min="8" max="10" width="9.140625" style="6"/>
    <col min="11" max="11" width="29.7109375" style="6" customWidth="1"/>
    <col min="12" max="16384" width="9.140625" style="6"/>
  </cols>
  <sheetData>
    <row r="1" spans="1:13" x14ac:dyDescent="0.2">
      <c r="A1" s="70" t="s">
        <v>98</v>
      </c>
      <c r="B1" s="70"/>
      <c r="C1" s="70"/>
      <c r="K1" s="69" t="s">
        <v>90</v>
      </c>
      <c r="L1" s="69"/>
      <c r="M1" s="69"/>
    </row>
    <row r="2" spans="1:13" x14ac:dyDescent="0.2">
      <c r="A2" s="56" t="s">
        <v>73</v>
      </c>
      <c r="B2" s="57" t="s">
        <v>74</v>
      </c>
      <c r="C2" s="57" t="s">
        <v>75</v>
      </c>
      <c r="K2" s="7" t="s">
        <v>73</v>
      </c>
      <c r="L2" s="2" t="s">
        <v>74</v>
      </c>
      <c r="M2" s="2" t="s">
        <v>75</v>
      </c>
    </row>
    <row r="3" spans="1:13" ht="15" x14ac:dyDescent="0.25">
      <c r="A3" s="6" t="s">
        <v>76</v>
      </c>
      <c r="B3" s="2">
        <v>0.28799999999999998</v>
      </c>
      <c r="C3" s="2">
        <v>0.34</v>
      </c>
      <c r="D3"/>
      <c r="K3" s="7" t="s">
        <v>76</v>
      </c>
      <c r="L3" s="2">
        <v>0.24099999999999999</v>
      </c>
      <c r="M3" s="2">
        <v>0.34300000000000003</v>
      </c>
    </row>
    <row r="4" spans="1:13" ht="15" x14ac:dyDescent="0.25">
      <c r="A4" s="6" t="s">
        <v>184</v>
      </c>
      <c r="B4" s="2">
        <v>1E-3</v>
      </c>
      <c r="C4" s="2">
        <v>0.55800000000000005</v>
      </c>
      <c r="D4"/>
      <c r="K4" s="7" t="s">
        <v>77</v>
      </c>
      <c r="L4" s="2" t="s">
        <v>78</v>
      </c>
      <c r="M4" s="2">
        <v>0.35599999999999998</v>
      </c>
    </row>
    <row r="5" spans="1:13" ht="15" x14ac:dyDescent="0.25">
      <c r="A5" s="6" t="s">
        <v>77</v>
      </c>
      <c r="B5" s="2" t="s">
        <v>78</v>
      </c>
      <c r="C5" s="2">
        <v>0.35699999999999998</v>
      </c>
      <c r="D5"/>
      <c r="K5" s="7" t="s">
        <v>79</v>
      </c>
      <c r="L5" s="2">
        <v>0.79</v>
      </c>
      <c r="M5" s="2">
        <v>0.35199999999999998</v>
      </c>
    </row>
    <row r="6" spans="1:13" ht="15" x14ac:dyDescent="0.25">
      <c r="A6" s="6" t="s">
        <v>79</v>
      </c>
      <c r="B6" s="2">
        <v>0.71799999999999997</v>
      </c>
      <c r="C6" s="2">
        <v>0.33</v>
      </c>
      <c r="D6"/>
      <c r="K6" s="7" t="s">
        <v>80</v>
      </c>
      <c r="L6" s="2" t="s">
        <v>78</v>
      </c>
      <c r="M6" s="2">
        <v>5.6000000000000001E-2</v>
      </c>
    </row>
    <row r="7" spans="1:13" ht="15" x14ac:dyDescent="0.25">
      <c r="A7" s="6" t="s">
        <v>80</v>
      </c>
      <c r="B7" s="2" t="s">
        <v>78</v>
      </c>
      <c r="C7" s="2">
        <v>0.14399999999999999</v>
      </c>
      <c r="D7"/>
      <c r="K7" s="7" t="s">
        <v>81</v>
      </c>
      <c r="L7" s="2" t="s">
        <v>78</v>
      </c>
      <c r="M7" s="2">
        <v>0.61599999999999999</v>
      </c>
    </row>
    <row r="8" spans="1:13" ht="15" x14ac:dyDescent="0.25">
      <c r="A8" s="6" t="s">
        <v>81</v>
      </c>
      <c r="B8" s="2" t="s">
        <v>78</v>
      </c>
      <c r="C8" s="2">
        <v>0.25600000000000001</v>
      </c>
      <c r="D8"/>
      <c r="K8" s="7" t="s">
        <v>82</v>
      </c>
      <c r="L8" s="2" t="s">
        <v>78</v>
      </c>
      <c r="M8" s="2">
        <v>0.81499999999999995</v>
      </c>
    </row>
    <row r="9" spans="1:13" ht="15" x14ac:dyDescent="0.25">
      <c r="A9" s="6" t="s">
        <v>82</v>
      </c>
      <c r="B9" s="2" t="s">
        <v>78</v>
      </c>
      <c r="C9" s="2">
        <v>0.86399999999999999</v>
      </c>
      <c r="D9"/>
      <c r="K9" s="7" t="s">
        <v>83</v>
      </c>
      <c r="L9" s="2" t="s">
        <v>78</v>
      </c>
      <c r="M9" s="2">
        <v>0.75600000000000001</v>
      </c>
    </row>
    <row r="10" spans="1:13" ht="15" x14ac:dyDescent="0.25">
      <c r="A10" s="6" t="s">
        <v>83</v>
      </c>
      <c r="B10" s="2" t="s">
        <v>78</v>
      </c>
      <c r="C10" s="2">
        <v>0.28599999999999998</v>
      </c>
      <c r="D10"/>
      <c r="K10" s="7" t="s">
        <v>84</v>
      </c>
      <c r="L10" s="2">
        <v>0.16200000000000001</v>
      </c>
      <c r="M10" s="2">
        <v>0.16700000000000001</v>
      </c>
    </row>
    <row r="11" spans="1:13" ht="15" x14ac:dyDescent="0.25">
      <c r="A11" s="6" t="s">
        <v>84</v>
      </c>
      <c r="B11" s="2">
        <v>0.28799999999999998</v>
      </c>
      <c r="C11" s="2">
        <v>0.372</v>
      </c>
      <c r="D11"/>
      <c r="K11" s="7" t="s">
        <v>85</v>
      </c>
      <c r="L11" s="2" t="s">
        <v>78</v>
      </c>
      <c r="M11" s="2">
        <v>0.17699999999999999</v>
      </c>
    </row>
    <row r="12" spans="1:13" ht="15" x14ac:dyDescent="0.25">
      <c r="A12" s="6" t="s">
        <v>85</v>
      </c>
      <c r="B12" s="2" t="s">
        <v>78</v>
      </c>
      <c r="C12" s="2">
        <v>0.125</v>
      </c>
      <c r="D12"/>
      <c r="K12" s="7" t="s">
        <v>86</v>
      </c>
      <c r="L12" s="2">
        <v>0.25</v>
      </c>
      <c r="M12" s="2">
        <v>0.17</v>
      </c>
    </row>
    <row r="13" spans="1:13" ht="15" x14ac:dyDescent="0.25">
      <c r="A13" s="6" t="s">
        <v>86</v>
      </c>
      <c r="B13" s="2">
        <v>0.40600000000000003</v>
      </c>
      <c r="C13" s="2">
        <v>0.35399999999999998</v>
      </c>
      <c r="D13"/>
      <c r="K13" s="7" t="s">
        <v>87</v>
      </c>
      <c r="L13" s="2" t="s">
        <v>78</v>
      </c>
      <c r="M13" s="2">
        <v>0.29599999999999999</v>
      </c>
    </row>
    <row r="14" spans="1:13" ht="15" x14ac:dyDescent="0.25">
      <c r="A14" s="6" t="s">
        <v>87</v>
      </c>
      <c r="B14" s="2" t="s">
        <v>78</v>
      </c>
      <c r="C14" s="2">
        <v>0.217</v>
      </c>
      <c r="D14"/>
      <c r="K14" s="7" t="s">
        <v>88</v>
      </c>
      <c r="L14" s="2" t="s">
        <v>78</v>
      </c>
      <c r="M14" s="2">
        <v>0.215</v>
      </c>
    </row>
    <row r="15" spans="1:13" ht="15" x14ac:dyDescent="0.25">
      <c r="A15" s="6" t="s">
        <v>88</v>
      </c>
      <c r="B15" s="2" t="s">
        <v>78</v>
      </c>
      <c r="C15" s="2">
        <v>0.20300000000000001</v>
      </c>
      <c r="D15"/>
      <c r="K15" s="7" t="s">
        <v>89</v>
      </c>
      <c r="L15" s="2" t="s">
        <v>78</v>
      </c>
      <c r="M15" s="2">
        <v>0.45600000000000002</v>
      </c>
    </row>
    <row r="16" spans="1:13" ht="15" x14ac:dyDescent="0.25">
      <c r="A16" s="6" t="s">
        <v>89</v>
      </c>
      <c r="B16" s="2" t="s">
        <v>78</v>
      </c>
      <c r="C16" s="2">
        <v>6.7000000000000004E-2</v>
      </c>
      <c r="D16"/>
    </row>
    <row r="17" spans="1:4" ht="15" x14ac:dyDescent="0.25">
      <c r="A17" s="7" t="s">
        <v>175</v>
      </c>
      <c r="B17" s="2">
        <v>1E-3</v>
      </c>
      <c r="C17" s="2">
        <v>0.68899999999999995</v>
      </c>
      <c r="D17"/>
    </row>
    <row r="18" spans="1:4" ht="15" x14ac:dyDescent="0.25">
      <c r="A18" s="7" t="s">
        <v>176</v>
      </c>
      <c r="B18" s="2">
        <v>6.0999999999999999E-2</v>
      </c>
      <c r="C18" s="2">
        <v>0.42599999999999999</v>
      </c>
      <c r="D18"/>
    </row>
    <row r="19" spans="1:4" ht="15" x14ac:dyDescent="0.25">
      <c r="A19" s="7" t="s">
        <v>177</v>
      </c>
      <c r="B19" s="2">
        <v>2E-3</v>
      </c>
      <c r="C19" s="2">
        <v>0.65300000000000002</v>
      </c>
      <c r="D19"/>
    </row>
    <row r="25" spans="1:4" x14ac:dyDescent="0.2">
      <c r="A25" s="6"/>
      <c r="B25" s="6"/>
      <c r="C25" s="6"/>
    </row>
    <row r="26" spans="1:4" x14ac:dyDescent="0.2">
      <c r="A26" s="6"/>
      <c r="B26" s="6"/>
      <c r="C26" s="6"/>
    </row>
  </sheetData>
  <mergeCells count="2">
    <mergeCell ref="K1:M1"/>
    <mergeCell ref="A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51"/>
  <sheetViews>
    <sheetView workbookViewId="0">
      <selection activeCell="G4" sqref="G4"/>
    </sheetView>
  </sheetViews>
  <sheetFormatPr defaultRowHeight="15" x14ac:dyDescent="0.25"/>
  <cols>
    <col min="1" max="1" width="9.85546875" customWidth="1"/>
    <col min="12" max="12" width="11.5703125" bestFit="1" customWidth="1"/>
    <col min="41" max="41" width="10.140625" bestFit="1" customWidth="1"/>
    <col min="57" max="57" width="9" bestFit="1" customWidth="1"/>
    <col min="69" max="69" width="10.140625" bestFit="1" customWidth="1"/>
    <col min="70" max="70" width="9" bestFit="1" customWidth="1"/>
    <col min="75" max="76" width="9" bestFit="1" customWidth="1"/>
  </cols>
  <sheetData>
    <row r="1" spans="1:76" s="62" customFormat="1" ht="72" x14ac:dyDescent="0.25">
      <c r="A1" s="28" t="s">
        <v>28</v>
      </c>
      <c r="B1" s="28"/>
      <c r="C1" s="28" t="s">
        <v>38</v>
      </c>
      <c r="D1" s="28" t="s">
        <v>39</v>
      </c>
      <c r="E1" s="28" t="s">
        <v>99</v>
      </c>
      <c r="F1" s="28" t="s">
        <v>40</v>
      </c>
      <c r="G1" s="28" t="s">
        <v>41</v>
      </c>
      <c r="H1" s="28" t="s">
        <v>100</v>
      </c>
      <c r="I1" s="28" t="s">
        <v>42</v>
      </c>
      <c r="J1" s="28" t="s">
        <v>43</v>
      </c>
      <c r="K1" s="28" t="s">
        <v>101</v>
      </c>
      <c r="L1" s="28" t="s">
        <v>163</v>
      </c>
      <c r="M1" s="61" t="s">
        <v>102</v>
      </c>
      <c r="N1" s="61" t="s">
        <v>103</v>
      </c>
      <c r="O1" s="28" t="s">
        <v>104</v>
      </c>
      <c r="P1" s="28" t="s">
        <v>162</v>
      </c>
      <c r="Q1" s="61" t="s">
        <v>105</v>
      </c>
      <c r="R1" s="61" t="s">
        <v>106</v>
      </c>
      <c r="S1" s="28" t="s">
        <v>107</v>
      </c>
      <c r="T1" s="61" t="s">
        <v>108</v>
      </c>
      <c r="U1" s="61" t="s">
        <v>109</v>
      </c>
      <c r="V1" s="28" t="s">
        <v>110</v>
      </c>
      <c r="W1" s="61" t="s">
        <v>111</v>
      </c>
      <c r="X1" s="61" t="s">
        <v>112</v>
      </c>
      <c r="Y1" s="28" t="s">
        <v>113</v>
      </c>
      <c r="Z1" s="61" t="s">
        <v>114</v>
      </c>
      <c r="AA1" s="61" t="s">
        <v>115</v>
      </c>
      <c r="AB1" s="28" t="s">
        <v>116</v>
      </c>
      <c r="AC1" s="61" t="s">
        <v>117</v>
      </c>
      <c r="AD1" s="61" t="s">
        <v>118</v>
      </c>
      <c r="AE1" s="28" t="s">
        <v>119</v>
      </c>
      <c r="AF1" s="1" t="s">
        <v>125</v>
      </c>
      <c r="AG1" s="1" t="s">
        <v>126</v>
      </c>
      <c r="AH1" s="1" t="s">
        <v>171</v>
      </c>
      <c r="AI1" s="1" t="s">
        <v>127</v>
      </c>
      <c r="AJ1" s="1" t="s">
        <v>128</v>
      </c>
      <c r="AK1" s="1" t="s">
        <v>172</v>
      </c>
      <c r="AL1" s="1" t="s">
        <v>129</v>
      </c>
      <c r="AM1" s="1" t="s">
        <v>130</v>
      </c>
      <c r="AN1" s="1" t="s">
        <v>173</v>
      </c>
      <c r="AO1" s="1" t="s">
        <v>72</v>
      </c>
      <c r="AP1" s="1" t="s">
        <v>62</v>
      </c>
      <c r="AQ1" s="1" t="s">
        <v>67</v>
      </c>
      <c r="AR1" s="1" t="s">
        <v>63</v>
      </c>
      <c r="AS1" s="1" t="s">
        <v>68</v>
      </c>
      <c r="AT1" s="1" t="s">
        <v>64</v>
      </c>
      <c r="AU1" s="1" t="s">
        <v>69</v>
      </c>
      <c r="AV1" s="1" t="s">
        <v>65</v>
      </c>
      <c r="AW1" s="1" t="s">
        <v>70</v>
      </c>
      <c r="AX1" s="1" t="s">
        <v>66</v>
      </c>
      <c r="AY1" s="1" t="s">
        <v>71</v>
      </c>
      <c r="AZ1" s="1" t="s">
        <v>191</v>
      </c>
      <c r="BA1" s="1" t="s">
        <v>190</v>
      </c>
      <c r="BB1" s="1" t="s">
        <v>195</v>
      </c>
      <c r="BC1" s="1" t="s">
        <v>133</v>
      </c>
      <c r="BD1" s="1" t="s">
        <v>142</v>
      </c>
      <c r="BE1" s="1" t="s">
        <v>192</v>
      </c>
      <c r="BF1" s="1" t="s">
        <v>193</v>
      </c>
      <c r="BG1" s="1" t="s">
        <v>194</v>
      </c>
      <c r="BH1" s="1" t="s">
        <v>134</v>
      </c>
      <c r="BI1" s="1" t="s">
        <v>144</v>
      </c>
      <c r="BJ1" s="1" t="s">
        <v>166</v>
      </c>
      <c r="BK1" s="1" t="s">
        <v>165</v>
      </c>
      <c r="BL1" s="1" t="s">
        <v>174</v>
      </c>
      <c r="BM1" s="1" t="s">
        <v>135</v>
      </c>
      <c r="BN1" s="1" t="s">
        <v>145</v>
      </c>
      <c r="BO1" s="1" t="s">
        <v>136</v>
      </c>
      <c r="BP1" s="1" t="s">
        <v>146</v>
      </c>
      <c r="BQ1" s="1" t="s">
        <v>137</v>
      </c>
      <c r="BR1" s="1" t="s">
        <v>147</v>
      </c>
      <c r="BS1" s="1" t="s">
        <v>138</v>
      </c>
      <c r="BT1" s="1" t="s">
        <v>148</v>
      </c>
      <c r="BU1" s="1" t="s">
        <v>139</v>
      </c>
      <c r="BV1" s="1" t="s">
        <v>149</v>
      </c>
      <c r="BW1" s="1" t="s">
        <v>140</v>
      </c>
      <c r="BX1" s="1" t="s">
        <v>150</v>
      </c>
    </row>
    <row r="2" spans="1:76" x14ac:dyDescent="0.25">
      <c r="A2" s="31" t="s">
        <v>1</v>
      </c>
      <c r="B2" s="28" t="s">
        <v>2</v>
      </c>
      <c r="C2" s="32">
        <v>64.400000000000006</v>
      </c>
      <c r="D2" s="32">
        <v>68.099999999999994</v>
      </c>
      <c r="E2" s="32">
        <f>D2-C2</f>
        <v>3.6999999999999886</v>
      </c>
      <c r="F2" s="28">
        <v>40.9</v>
      </c>
      <c r="G2" s="28">
        <v>46.5</v>
      </c>
      <c r="H2" s="28">
        <f>G2-F2</f>
        <v>5.6000000000000014</v>
      </c>
      <c r="I2" s="28">
        <v>1.64</v>
      </c>
      <c r="J2" s="28">
        <v>2.52</v>
      </c>
      <c r="K2" s="28">
        <f>J2-I2</f>
        <v>0.88000000000000012</v>
      </c>
      <c r="L2" s="28">
        <f>((J2-I2)/I2)*100</f>
        <v>53.658536585365866</v>
      </c>
      <c r="M2" s="30">
        <v>151.5</v>
      </c>
      <c r="N2" s="30">
        <v>181.4</v>
      </c>
      <c r="O2" s="30">
        <f>N2-M2</f>
        <v>29.900000000000006</v>
      </c>
      <c r="P2" s="30">
        <f>((N2-M2)/M2)*100</f>
        <v>19.735973597359742</v>
      </c>
      <c r="Q2" s="30">
        <v>74.099999999999994</v>
      </c>
      <c r="R2" s="30">
        <v>77.599999999999994</v>
      </c>
      <c r="S2" s="30">
        <f>R2-Q2</f>
        <v>3.5</v>
      </c>
      <c r="T2" s="30">
        <v>135.30000000000001</v>
      </c>
      <c r="U2" s="30">
        <v>158.69999999999999</v>
      </c>
      <c r="V2" s="30">
        <f>U2-T2</f>
        <v>23.399999999999977</v>
      </c>
      <c r="W2" s="30">
        <v>106.6</v>
      </c>
      <c r="X2" s="30">
        <v>134.9</v>
      </c>
      <c r="Y2" s="30">
        <f>X2-W2</f>
        <v>28.300000000000011</v>
      </c>
      <c r="Z2" s="30">
        <v>16.2</v>
      </c>
      <c r="AA2" s="30">
        <v>22.6</v>
      </c>
      <c r="AB2" s="30">
        <f>AA2-Z2</f>
        <v>6.4000000000000021</v>
      </c>
      <c r="AC2" s="30">
        <v>100.7</v>
      </c>
      <c r="AD2" s="30">
        <v>127.7</v>
      </c>
      <c r="AE2" s="30">
        <f t="shared" ref="AE2:AE9" si="0">AD2-AC2</f>
        <v>27</v>
      </c>
      <c r="AF2" s="5">
        <v>166.06170598911069</v>
      </c>
      <c r="AG2" s="5">
        <v>248.63883847549909</v>
      </c>
      <c r="AH2" s="5">
        <f t="shared" ref="AH2:AH9" si="1">AG2-AF2</f>
        <v>82.577132486388393</v>
      </c>
      <c r="AI2" s="5">
        <v>47.640653357531754</v>
      </c>
      <c r="AJ2" s="5">
        <v>80.308529945553531</v>
      </c>
      <c r="AK2" s="5">
        <f t="shared" ref="AK2:AK9" si="2">AJ2-AI2</f>
        <v>32.667876588021777</v>
      </c>
      <c r="AL2" s="5">
        <v>88.475499092558977</v>
      </c>
      <c r="AM2" s="5">
        <v>117.05989110707803</v>
      </c>
      <c r="AN2" s="5">
        <f t="shared" ref="AN2:AN9" si="3">AM2-AL2</f>
        <v>28.584392014519054</v>
      </c>
      <c r="AO2" s="5">
        <v>231992.18</v>
      </c>
      <c r="AP2" s="5">
        <v>815.1</v>
      </c>
      <c r="AQ2" s="5">
        <v>2086.5324999999998</v>
      </c>
      <c r="AR2" s="5">
        <v>33.657499999999999</v>
      </c>
      <c r="AS2" s="5">
        <v>108.6875</v>
      </c>
      <c r="AT2" s="5">
        <v>144.02000000000001</v>
      </c>
      <c r="AU2" s="5">
        <v>168.505</v>
      </c>
      <c r="AV2" s="5">
        <v>43.1175</v>
      </c>
      <c r="AW2" s="5">
        <v>98.245000000000005</v>
      </c>
      <c r="AX2" s="5">
        <v>2.2749999999999999</v>
      </c>
      <c r="AY2" s="5">
        <v>14.8</v>
      </c>
      <c r="AZ2" s="5">
        <v>6734.2054170666661</v>
      </c>
      <c r="BA2" s="5">
        <v>9722.0354135813941</v>
      </c>
      <c r="BB2" s="5">
        <f>BA2-AZ2</f>
        <v>2987.829996514728</v>
      </c>
      <c r="BC2" s="5">
        <v>60</v>
      </c>
      <c r="BD2" s="5">
        <v>43</v>
      </c>
      <c r="BE2" s="5">
        <v>5406.3669695438584</v>
      </c>
      <c r="BF2" s="5">
        <v>7351.5473272195113</v>
      </c>
      <c r="BG2" s="5">
        <f>BF2-BE2</f>
        <v>1945.1803576756529</v>
      </c>
      <c r="BH2" s="5">
        <v>57</v>
      </c>
      <c r="BI2" s="5">
        <v>41</v>
      </c>
      <c r="BJ2" s="5">
        <f t="shared" ref="BJ2:BK4" si="4">((AZ2*BC2)+(BE2*BH2))/(BC2+BH2)</f>
        <v>6087.3097631452983</v>
      </c>
      <c r="BK2" s="5">
        <f t="shared" si="4"/>
        <v>8565.011466666665</v>
      </c>
      <c r="BL2" s="5">
        <f>BK2-BJ2</f>
        <v>2477.7017035213667</v>
      </c>
      <c r="BM2" s="5">
        <v>77.678657486618292</v>
      </c>
      <c r="BN2" s="5">
        <v>90.278042908305892</v>
      </c>
      <c r="BO2" s="5">
        <v>0.96666666666666667</v>
      </c>
      <c r="BP2" s="5">
        <v>2.5813953488372094</v>
      </c>
      <c r="BQ2" s="5">
        <v>6966.4193969655162</v>
      </c>
      <c r="BR2" s="5">
        <v>3766.1938989549544</v>
      </c>
      <c r="BS2" s="5">
        <v>69.528845796096988</v>
      </c>
      <c r="BT2" s="5">
        <v>77.744799361059705</v>
      </c>
      <c r="BU2" s="5">
        <v>0.84210526315789469</v>
      </c>
      <c r="BV2" s="5">
        <v>1.6829268292682926</v>
      </c>
      <c r="BW2" s="5">
        <v>6420.0607763333319</v>
      </c>
      <c r="BX2" s="5">
        <v>4368.3107306666661</v>
      </c>
    </row>
    <row r="3" spans="1:76" x14ac:dyDescent="0.25">
      <c r="A3" s="31" t="s">
        <v>30</v>
      </c>
      <c r="B3" s="28" t="s">
        <v>2</v>
      </c>
      <c r="C3" s="32">
        <v>57</v>
      </c>
      <c r="D3" s="32">
        <v>58</v>
      </c>
      <c r="E3" s="32">
        <f t="shared" ref="E3:E9" si="5">D3-C3</f>
        <v>1</v>
      </c>
      <c r="F3" s="28">
        <v>14.9</v>
      </c>
      <c r="G3" s="28">
        <v>14.5</v>
      </c>
      <c r="H3" s="28">
        <f t="shared" ref="H3:H9" si="6">G3-F3</f>
        <v>-0.40000000000000036</v>
      </c>
      <c r="I3" s="28">
        <v>1.61</v>
      </c>
      <c r="J3" s="28">
        <v>1.68</v>
      </c>
      <c r="K3" s="28">
        <f t="shared" ref="K3:K9" si="7">J3-I3</f>
        <v>6.999999999999984E-2</v>
      </c>
      <c r="L3" s="28">
        <f t="shared" ref="L3:L44" si="8">((J3-I3)/I3)*100</f>
        <v>4.3478260869565108</v>
      </c>
      <c r="M3" s="30">
        <v>145.80000000000001</v>
      </c>
      <c r="N3" s="30">
        <v>152.5</v>
      </c>
      <c r="O3" s="30">
        <f t="shared" ref="O3:O9" si="9">N3-M3</f>
        <v>6.6999999999999886</v>
      </c>
      <c r="P3" s="30">
        <f t="shared" ref="P3:P44" si="10">((N3-M3)/M3)*100</f>
        <v>4.5953360768175502</v>
      </c>
      <c r="Q3" s="30">
        <v>78.2</v>
      </c>
      <c r="R3" s="30">
        <v>79.400000000000006</v>
      </c>
      <c r="S3" s="30">
        <f t="shared" ref="S3:S9" si="11">R3-Q3</f>
        <v>1.2000000000000028</v>
      </c>
      <c r="T3" s="30">
        <v>139.19999999999999</v>
      </c>
      <c r="U3" s="30">
        <v>145.80000000000001</v>
      </c>
      <c r="V3" s="30">
        <f t="shared" ref="V3:V9" si="12">U3-T3</f>
        <v>6.6000000000000227</v>
      </c>
      <c r="W3" s="30">
        <v>53.7</v>
      </c>
      <c r="X3" s="30">
        <v>51</v>
      </c>
      <c r="Y3" s="30">
        <f t="shared" ref="Y3:Y9" si="13">X3-W3</f>
        <v>-2.7000000000000028</v>
      </c>
      <c r="Z3" s="30">
        <v>6.6</v>
      </c>
      <c r="AA3" s="30">
        <v>6.7</v>
      </c>
      <c r="AB3" s="30">
        <f t="shared" ref="AB3:AB9" si="14">AA3-Z3</f>
        <v>0.10000000000000053</v>
      </c>
      <c r="AC3" s="30">
        <v>49.6</v>
      </c>
      <c r="AD3" s="30">
        <v>46.5</v>
      </c>
      <c r="AE3" s="30">
        <f t="shared" si="0"/>
        <v>-3.1000000000000014</v>
      </c>
      <c r="AF3" s="5">
        <v>209.61887477313974</v>
      </c>
      <c r="AG3" s="5">
        <v>280.39927404718691</v>
      </c>
      <c r="AH3" s="5">
        <f t="shared" si="1"/>
        <v>70.78039927404717</v>
      </c>
      <c r="AI3" s="5">
        <v>64.42831215970962</v>
      </c>
      <c r="AJ3" s="5">
        <v>75.771324863883848</v>
      </c>
      <c r="AK3" s="5">
        <f t="shared" si="2"/>
        <v>11.343012704174228</v>
      </c>
      <c r="AL3" s="5">
        <v>124.31941923774954</v>
      </c>
      <c r="AM3" s="5">
        <v>161.07078039927404</v>
      </c>
      <c r="AN3" s="5">
        <f t="shared" si="3"/>
        <v>36.7513611615245</v>
      </c>
      <c r="AO3" s="5">
        <v>269838.98</v>
      </c>
      <c r="AP3" s="5">
        <v>787.1825</v>
      </c>
      <c r="AQ3" s="5">
        <v>2647.05</v>
      </c>
      <c r="AR3" s="5">
        <v>66.097499999999997</v>
      </c>
      <c r="AS3" s="5">
        <v>106.30249999999999</v>
      </c>
      <c r="AT3" s="5">
        <v>251.81</v>
      </c>
      <c r="AU3" s="5">
        <v>268.07499999999999</v>
      </c>
      <c r="AV3" s="5">
        <v>87.465000000000003</v>
      </c>
      <c r="AW3" s="5">
        <v>130.5675</v>
      </c>
      <c r="AX3" s="5">
        <v>17.602499999999999</v>
      </c>
      <c r="AY3" s="5">
        <v>17.112500000000001</v>
      </c>
      <c r="AZ3" s="5">
        <v>3983.5671495145634</v>
      </c>
      <c r="BA3" s="5">
        <v>8118.8977591111097</v>
      </c>
      <c r="BB3" s="5">
        <f>BA3-AZ3</f>
        <v>4135.3306095965463</v>
      </c>
      <c r="BC3" s="5">
        <v>103</v>
      </c>
      <c r="BD3" s="5">
        <v>54</v>
      </c>
      <c r="BE3" s="5">
        <v>3898.0312665168535</v>
      </c>
      <c r="BF3" s="5">
        <v>6512.3930392195116</v>
      </c>
      <c r="BG3" s="5">
        <f>BF3-BE3</f>
        <v>2614.3617727026581</v>
      </c>
      <c r="BH3" s="5">
        <v>89</v>
      </c>
      <c r="BI3" s="5">
        <v>41</v>
      </c>
      <c r="BJ3" s="5">
        <f t="shared" si="4"/>
        <v>3943.9177037499999</v>
      </c>
      <c r="BK3" s="5">
        <f t="shared" si="4"/>
        <v>7425.5641431578933</v>
      </c>
      <c r="BL3" s="5">
        <f>BK3-BJ3</f>
        <v>3481.6464394078935</v>
      </c>
      <c r="BM3" s="5">
        <v>62.140283389101384</v>
      </c>
      <c r="BN3" s="5">
        <v>81.611633475753848</v>
      </c>
      <c r="BO3" s="5">
        <v>0.37864077669902912</v>
      </c>
      <c r="BP3" s="5">
        <v>2.2962962962962963</v>
      </c>
      <c r="BQ3" s="5">
        <v>10520.702984615386</v>
      </c>
      <c r="BR3" s="5">
        <v>3535.6490241290317</v>
      </c>
      <c r="BS3" s="5">
        <v>59.690138479078477</v>
      </c>
      <c r="BT3" s="5">
        <v>74.910769378936692</v>
      </c>
      <c r="BU3" s="5">
        <v>0.30337078651685395</v>
      </c>
      <c r="BV3" s="5">
        <v>1.6585365853658536</v>
      </c>
      <c r="BW3" s="5">
        <v>12849.066026666664</v>
      </c>
      <c r="BX3" s="5">
        <v>3926.5899207058824</v>
      </c>
    </row>
    <row r="4" spans="1:76" x14ac:dyDescent="0.25">
      <c r="A4" s="31" t="s">
        <v>7</v>
      </c>
      <c r="B4" s="28" t="s">
        <v>2</v>
      </c>
      <c r="C4" s="32">
        <v>47.1</v>
      </c>
      <c r="D4" s="32">
        <v>48.1</v>
      </c>
      <c r="E4" s="32">
        <f t="shared" si="5"/>
        <v>1</v>
      </c>
      <c r="F4" s="28">
        <v>10.3</v>
      </c>
      <c r="G4" s="28">
        <v>8.4</v>
      </c>
      <c r="H4" s="28">
        <f t="shared" si="6"/>
        <v>-1.9000000000000004</v>
      </c>
      <c r="I4" s="28">
        <v>1.1299999999999999</v>
      </c>
      <c r="J4" s="28">
        <v>2.1</v>
      </c>
      <c r="K4" s="28">
        <f t="shared" si="7"/>
        <v>0.9700000000000002</v>
      </c>
      <c r="L4" s="28">
        <f t="shared" si="8"/>
        <v>85.840707964601791</v>
      </c>
      <c r="M4" s="30">
        <v>107.9</v>
      </c>
      <c r="N4" s="30">
        <v>120.5</v>
      </c>
      <c r="O4" s="30">
        <f t="shared" si="9"/>
        <v>12.599999999999994</v>
      </c>
      <c r="P4" s="30">
        <f t="shared" si="10"/>
        <v>11.677479147358659</v>
      </c>
      <c r="Q4" s="30">
        <v>77.8</v>
      </c>
      <c r="R4" s="30">
        <v>79.400000000000006</v>
      </c>
      <c r="S4" s="30">
        <f t="shared" si="11"/>
        <v>1.6000000000000085</v>
      </c>
      <c r="T4" s="30">
        <v>105.7</v>
      </c>
      <c r="U4" s="30">
        <v>118.7</v>
      </c>
      <c r="V4" s="30">
        <f t="shared" si="12"/>
        <v>13</v>
      </c>
      <c r="W4" s="30">
        <v>28.6</v>
      </c>
      <c r="X4" s="30">
        <v>24.9</v>
      </c>
      <c r="Y4" s="30">
        <f t="shared" si="13"/>
        <v>-3.7000000000000028</v>
      </c>
      <c r="Z4" s="30">
        <v>2.2000000000000002</v>
      </c>
      <c r="AA4" s="30">
        <v>1.8</v>
      </c>
      <c r="AB4" s="30">
        <f t="shared" si="14"/>
        <v>-0.40000000000000013</v>
      </c>
      <c r="AC4" s="30">
        <v>25.1</v>
      </c>
      <c r="AD4" s="30">
        <v>21.3</v>
      </c>
      <c r="AE4" s="30">
        <f t="shared" si="0"/>
        <v>-3.8000000000000007</v>
      </c>
      <c r="AF4" s="5">
        <v>68.511796733212336</v>
      </c>
      <c r="AG4" s="5">
        <v>153.81125226860252</v>
      </c>
      <c r="AH4" s="5">
        <f t="shared" si="1"/>
        <v>85.29945553539018</v>
      </c>
      <c r="AI4" s="5">
        <v>50.362976406533569</v>
      </c>
      <c r="AJ4" s="5">
        <v>52.631578947368418</v>
      </c>
      <c r="AK4" s="5">
        <f t="shared" si="2"/>
        <v>2.2686025408348485</v>
      </c>
      <c r="AL4" s="5">
        <v>70.780399274047184</v>
      </c>
      <c r="AM4" s="5">
        <v>92.558983666061692</v>
      </c>
      <c r="AN4" s="5">
        <f t="shared" si="3"/>
        <v>21.778584392014508</v>
      </c>
      <c r="AO4" s="5">
        <v>141920.48000000001</v>
      </c>
      <c r="AP4" s="5">
        <v>292.52999999999997</v>
      </c>
      <c r="AQ4" s="5">
        <v>2400.4949999999999</v>
      </c>
      <c r="AR4" s="5">
        <v>35.352499999999999</v>
      </c>
      <c r="AS4" s="5">
        <v>99.832499999999996</v>
      </c>
      <c r="AT4" s="5">
        <v>80.105000000000004</v>
      </c>
      <c r="AU4" s="5">
        <v>340.75</v>
      </c>
      <c r="AV4" s="5">
        <v>32.502499999999998</v>
      </c>
      <c r="AW4" s="5">
        <v>68.772499999999994</v>
      </c>
      <c r="AX4" s="5">
        <v>6.5449999999999999</v>
      </c>
      <c r="AY4" s="5">
        <v>14.1975</v>
      </c>
      <c r="AZ4" s="5">
        <v>4096.5714387070684</v>
      </c>
      <c r="BA4" s="5">
        <v>4983.7363558991592</v>
      </c>
      <c r="BB4" s="5">
        <f>BA4-AZ4</f>
        <v>887.1649171920908</v>
      </c>
      <c r="BC4" s="5">
        <v>99</v>
      </c>
      <c r="BD4" s="5">
        <v>119</v>
      </c>
      <c r="BE4" s="5">
        <v>3254.8959227368409</v>
      </c>
      <c r="BF4" s="5">
        <v>2725.2309212121204</v>
      </c>
      <c r="BG4" s="5">
        <f>BF4-BE4</f>
        <v>-529.66500152472054</v>
      </c>
      <c r="BH4" s="5">
        <v>76</v>
      </c>
      <c r="BI4" s="5">
        <v>66</v>
      </c>
      <c r="BJ4" s="5">
        <f t="shared" si="4"/>
        <v>3731.0437860571415</v>
      </c>
      <c r="BK4" s="5">
        <f t="shared" si="4"/>
        <v>4177.999281902702</v>
      </c>
      <c r="BL4" s="5">
        <f>BK4-BJ4</f>
        <v>446.95549584556056</v>
      </c>
      <c r="BM4" s="5">
        <v>59.969390167990312</v>
      </c>
      <c r="BN4" s="5">
        <v>70.343976259753049</v>
      </c>
      <c r="BO4" s="5">
        <v>0.39393939393939392</v>
      </c>
      <c r="BP4" s="5">
        <v>0.42857142857142855</v>
      </c>
      <c r="BQ4" s="5">
        <v>10398.989036717943</v>
      </c>
      <c r="BR4" s="5">
        <v>11628.718163764706</v>
      </c>
      <c r="BS4" s="5">
        <v>53.766782346888718</v>
      </c>
      <c r="BT4" s="5">
        <v>50.807802112691277</v>
      </c>
      <c r="BU4" s="5">
        <v>0.57894736842105265</v>
      </c>
      <c r="BV4" s="5">
        <v>0.34848484848484851</v>
      </c>
      <c r="BW4" s="5">
        <v>5622.0929574545435</v>
      </c>
      <c r="BX4" s="5">
        <v>7820.2278608695624</v>
      </c>
    </row>
    <row r="5" spans="1:76" x14ac:dyDescent="0.25">
      <c r="A5" s="31" t="s">
        <v>8</v>
      </c>
      <c r="B5" s="28" t="s">
        <v>2</v>
      </c>
      <c r="C5" s="32">
        <v>56.4</v>
      </c>
      <c r="D5" s="32">
        <v>58.6</v>
      </c>
      <c r="E5" s="32">
        <f t="shared" si="5"/>
        <v>2.2000000000000028</v>
      </c>
      <c r="F5" s="28">
        <v>9.3000000000000007</v>
      </c>
      <c r="G5" s="28">
        <v>10.8</v>
      </c>
      <c r="H5" s="28">
        <f t="shared" si="6"/>
        <v>1.5</v>
      </c>
      <c r="I5" s="28">
        <v>2.0299999999999998</v>
      </c>
      <c r="J5" s="28">
        <v>2.46</v>
      </c>
      <c r="K5" s="28">
        <f t="shared" si="7"/>
        <v>0.43000000000000016</v>
      </c>
      <c r="L5" s="28">
        <f t="shared" si="8"/>
        <v>21.182266009852228</v>
      </c>
      <c r="M5" s="30">
        <v>139.6</v>
      </c>
      <c r="N5" s="30">
        <v>151.5</v>
      </c>
      <c r="O5" s="30">
        <f t="shared" si="9"/>
        <v>11.900000000000006</v>
      </c>
      <c r="P5" s="30">
        <f t="shared" si="10"/>
        <v>8.524355300859602</v>
      </c>
      <c r="Q5" s="30">
        <v>77.5</v>
      </c>
      <c r="R5" s="30">
        <v>78.2</v>
      </c>
      <c r="S5" s="30">
        <f t="shared" si="11"/>
        <v>0.70000000000000284</v>
      </c>
      <c r="T5" s="30">
        <v>135.30000000000001</v>
      </c>
      <c r="U5" s="30">
        <v>146.5</v>
      </c>
      <c r="V5" s="30">
        <f t="shared" si="12"/>
        <v>11.199999999999989</v>
      </c>
      <c r="W5" s="30">
        <v>32.6</v>
      </c>
      <c r="X5" s="30">
        <v>36</v>
      </c>
      <c r="Y5" s="30">
        <f t="shared" si="13"/>
        <v>3.3999999999999986</v>
      </c>
      <c r="Z5" s="30">
        <v>4.3</v>
      </c>
      <c r="AA5" s="30">
        <v>4.9000000000000004</v>
      </c>
      <c r="AB5" s="30">
        <f t="shared" si="14"/>
        <v>0.60000000000000053</v>
      </c>
      <c r="AC5" s="30">
        <v>28.4</v>
      </c>
      <c r="AD5" s="30">
        <v>31.6</v>
      </c>
      <c r="AE5" s="30">
        <f t="shared" si="0"/>
        <v>3.2000000000000028</v>
      </c>
      <c r="AF5" s="5">
        <v>146.55172413793102</v>
      </c>
      <c r="AG5" s="5">
        <v>251.36116152450089</v>
      </c>
      <c r="AH5" s="5">
        <f t="shared" si="1"/>
        <v>104.80943738656987</v>
      </c>
      <c r="AI5" s="5">
        <v>78.039927404718682</v>
      </c>
      <c r="AJ5" s="5">
        <v>97.549909255898356</v>
      </c>
      <c r="AK5" s="5">
        <f t="shared" si="2"/>
        <v>19.509981851179674</v>
      </c>
      <c r="AL5" s="5">
        <v>106.62431941923774</v>
      </c>
      <c r="AM5" s="5">
        <v>136.11615245009074</v>
      </c>
      <c r="AN5" s="5">
        <f t="shared" si="3"/>
        <v>29.491833030853002</v>
      </c>
      <c r="AO5" s="5">
        <v>229441.44</v>
      </c>
      <c r="AP5" s="5">
        <v>2032.1075000000001</v>
      </c>
      <c r="AQ5" s="5">
        <v>1392.1424999999999</v>
      </c>
      <c r="AR5" s="5">
        <v>97.587500000000006</v>
      </c>
      <c r="AS5" s="5">
        <v>61.62</v>
      </c>
      <c r="AT5" s="5">
        <v>156.655</v>
      </c>
      <c r="AU5" s="5">
        <v>152.72999999999999</v>
      </c>
      <c r="AV5" s="5">
        <v>1044.1175000000001</v>
      </c>
      <c r="AW5" s="5">
        <v>61.602499999999999</v>
      </c>
      <c r="AX5" s="5">
        <v>10.56</v>
      </c>
      <c r="AY5" s="5">
        <v>11.935</v>
      </c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</row>
    <row r="6" spans="1:76" x14ac:dyDescent="0.25">
      <c r="A6" s="31" t="s">
        <v>11</v>
      </c>
      <c r="B6" s="28" t="s">
        <v>2</v>
      </c>
      <c r="C6" s="32">
        <v>51.8</v>
      </c>
      <c r="D6" s="32">
        <v>52.8</v>
      </c>
      <c r="E6" s="32">
        <f t="shared" si="5"/>
        <v>1</v>
      </c>
      <c r="F6" s="28">
        <v>7.7</v>
      </c>
      <c r="G6" s="28">
        <v>7.1</v>
      </c>
      <c r="H6" s="28">
        <f t="shared" si="6"/>
        <v>-0.60000000000000053</v>
      </c>
      <c r="I6" s="28">
        <v>2.1</v>
      </c>
      <c r="J6" s="28">
        <v>2.5099999999999998</v>
      </c>
      <c r="K6" s="28">
        <f t="shared" si="7"/>
        <v>0.4099999999999997</v>
      </c>
      <c r="L6" s="28">
        <f t="shared" si="8"/>
        <v>19.523809523809511</v>
      </c>
      <c r="M6" s="30">
        <v>139.69999999999999</v>
      </c>
      <c r="N6" s="30">
        <v>147.4</v>
      </c>
      <c r="O6" s="30">
        <f t="shared" si="9"/>
        <v>7.7000000000000171</v>
      </c>
      <c r="P6" s="30">
        <f t="shared" si="10"/>
        <v>5.5118110236220597</v>
      </c>
      <c r="Q6" s="30">
        <v>77.900000000000006</v>
      </c>
      <c r="R6" s="30">
        <v>78.599999999999994</v>
      </c>
      <c r="S6" s="30">
        <f t="shared" si="11"/>
        <v>0.69999999999998863</v>
      </c>
      <c r="T6" s="30">
        <v>136.19999999999999</v>
      </c>
      <c r="U6" s="30">
        <v>143.4</v>
      </c>
      <c r="V6" s="30">
        <f t="shared" si="12"/>
        <v>7.2000000000000171</v>
      </c>
      <c r="W6" s="30">
        <v>20.6</v>
      </c>
      <c r="X6" s="30">
        <v>18.7</v>
      </c>
      <c r="Y6" s="30">
        <f t="shared" si="13"/>
        <v>-1.9000000000000021</v>
      </c>
      <c r="Z6" s="30">
        <v>3.5</v>
      </c>
      <c r="AA6" s="30">
        <v>4.0999999999999996</v>
      </c>
      <c r="AB6" s="30">
        <f t="shared" si="14"/>
        <v>0.59999999999999964</v>
      </c>
      <c r="AC6" s="30">
        <v>16.7</v>
      </c>
      <c r="AD6" s="30">
        <v>14.7</v>
      </c>
      <c r="AE6" s="30">
        <f t="shared" si="0"/>
        <v>-2</v>
      </c>
      <c r="AF6" s="5">
        <v>141.56079854809437</v>
      </c>
      <c r="AG6" s="5">
        <v>174.6823956442831</v>
      </c>
      <c r="AH6" s="5">
        <f t="shared" si="1"/>
        <v>33.121597096188736</v>
      </c>
      <c r="AI6" s="5">
        <v>56.715063520871141</v>
      </c>
      <c r="AJ6" s="5">
        <v>68.511796733212336</v>
      </c>
      <c r="AK6" s="5">
        <f t="shared" si="2"/>
        <v>11.796733212341195</v>
      </c>
      <c r="AL6" s="5">
        <v>114.79128856624318</v>
      </c>
      <c r="AM6" s="5">
        <v>129.31034482758619</v>
      </c>
      <c r="AN6" s="5">
        <f t="shared" si="3"/>
        <v>14.51905626134301</v>
      </c>
      <c r="AO6" s="5">
        <v>172504.55</v>
      </c>
      <c r="AP6" s="5">
        <v>1582.43</v>
      </c>
      <c r="AQ6" s="5">
        <v>1211.3399999999999</v>
      </c>
      <c r="AR6" s="5">
        <v>81.81</v>
      </c>
      <c r="AS6" s="5">
        <v>53.202500000000001</v>
      </c>
      <c r="AT6" s="5">
        <v>144.63499999999999</v>
      </c>
      <c r="AU6" s="5">
        <v>163.88749999999999</v>
      </c>
      <c r="AV6" s="5">
        <v>548.38250000000005</v>
      </c>
      <c r="AW6" s="5">
        <v>32.950000000000003</v>
      </c>
      <c r="AX6" s="5">
        <v>10.3475</v>
      </c>
      <c r="AY6" s="5">
        <v>9.8949999999999996</v>
      </c>
      <c r="AZ6" s="5">
        <v>5157.5567108349533</v>
      </c>
      <c r="BA6" s="5">
        <v>4874.2460243809519</v>
      </c>
      <c r="BB6" s="5">
        <f>BA6-AZ6</f>
        <v>-283.31068645400137</v>
      </c>
      <c r="BC6" s="5">
        <v>103</v>
      </c>
      <c r="BD6" s="5">
        <v>84</v>
      </c>
      <c r="BE6" s="5">
        <v>4032.4618919183672</v>
      </c>
      <c r="BF6" s="5">
        <v>4514.334108799997</v>
      </c>
      <c r="BG6" s="5">
        <f>BF6-BE6</f>
        <v>481.87221688162981</v>
      </c>
      <c r="BH6" s="5">
        <v>49</v>
      </c>
      <c r="BI6" s="5">
        <v>55</v>
      </c>
      <c r="BJ6" s="5">
        <f t="shared" ref="BJ6:BK9" si="15">((AZ6*BC6)+(BE6*BH6))/(BC6+BH6)</f>
        <v>4794.8616705263166</v>
      </c>
      <c r="BK6" s="5">
        <f t="shared" si="15"/>
        <v>4731.8348347625888</v>
      </c>
      <c r="BL6" s="5">
        <f>BK6-BJ6</f>
        <v>-63.026835763727831</v>
      </c>
      <c r="BM6" s="5">
        <v>63.791606831086362</v>
      </c>
      <c r="BN6" s="5">
        <v>64.997787578940546</v>
      </c>
      <c r="BO6" s="5">
        <v>1.0485436893203883</v>
      </c>
      <c r="BP6" s="5">
        <v>0.69047619047619047</v>
      </c>
      <c r="BQ6" s="5">
        <v>4918.7809371851872</v>
      </c>
      <c r="BR6" s="5">
        <v>7059.2528628965511</v>
      </c>
      <c r="BS6" s="5">
        <v>56.221360788151358</v>
      </c>
      <c r="BT6" s="5">
        <v>65.200192171113798</v>
      </c>
      <c r="BU6" s="5">
        <v>0.63265306122448983</v>
      </c>
      <c r="BV6" s="5">
        <v>0.52727272727272723</v>
      </c>
      <c r="BW6" s="5">
        <v>6373.8913775483861</v>
      </c>
      <c r="BX6" s="5">
        <v>8561.6681373793053</v>
      </c>
    </row>
    <row r="7" spans="1:76" x14ac:dyDescent="0.25">
      <c r="A7" s="31" t="s">
        <v>35</v>
      </c>
      <c r="B7" s="28" t="s">
        <v>2</v>
      </c>
      <c r="C7" s="32">
        <v>60.3</v>
      </c>
      <c r="D7" s="32">
        <v>61.4</v>
      </c>
      <c r="E7" s="32">
        <f t="shared" si="5"/>
        <v>1.1000000000000014</v>
      </c>
      <c r="F7" s="28">
        <v>14.3</v>
      </c>
      <c r="G7" s="28">
        <v>13.6</v>
      </c>
      <c r="H7" s="28">
        <f t="shared" si="6"/>
        <v>-0.70000000000000107</v>
      </c>
      <c r="I7" s="28">
        <v>1.31</v>
      </c>
      <c r="J7" s="28">
        <v>2.0499999999999998</v>
      </c>
      <c r="K7" s="28">
        <f t="shared" si="7"/>
        <v>0.73999999999999977</v>
      </c>
      <c r="L7" s="28">
        <f t="shared" si="8"/>
        <v>56.48854961832059</v>
      </c>
      <c r="M7" s="30">
        <v>156.4</v>
      </c>
      <c r="N7" s="30">
        <v>160.80000000000001</v>
      </c>
      <c r="O7" s="30">
        <f t="shared" si="9"/>
        <v>4.4000000000000057</v>
      </c>
      <c r="P7" s="30">
        <f t="shared" si="10"/>
        <v>2.8132992327365764</v>
      </c>
      <c r="Q7" s="30">
        <v>79.599999999999994</v>
      </c>
      <c r="R7" s="30">
        <v>80.2</v>
      </c>
      <c r="S7" s="30">
        <f t="shared" si="11"/>
        <v>0.60000000000000853</v>
      </c>
      <c r="T7" s="30">
        <v>149.80000000000001</v>
      </c>
      <c r="U7" s="30">
        <v>154.6</v>
      </c>
      <c r="V7" s="30">
        <f t="shared" si="12"/>
        <v>4.7999999999999829</v>
      </c>
      <c r="W7" s="30">
        <v>52.9</v>
      </c>
      <c r="X7" s="30">
        <v>50.7</v>
      </c>
      <c r="Y7" s="30">
        <f t="shared" si="13"/>
        <v>-2.1999999999999957</v>
      </c>
      <c r="Z7" s="30">
        <v>6.6</v>
      </c>
      <c r="AA7" s="30">
        <v>6.3</v>
      </c>
      <c r="AB7" s="30">
        <f t="shared" si="14"/>
        <v>-0.29999999999999982</v>
      </c>
      <c r="AC7" s="30">
        <v>48.6</v>
      </c>
      <c r="AD7" s="30">
        <v>46.2</v>
      </c>
      <c r="AE7" s="30">
        <f t="shared" si="0"/>
        <v>-2.3999999999999986</v>
      </c>
      <c r="AF7" s="5">
        <v>166.06170598911069</v>
      </c>
      <c r="AG7" s="5">
        <v>270.87114337568056</v>
      </c>
      <c r="AH7" s="5">
        <f t="shared" si="1"/>
        <v>104.80943738656987</v>
      </c>
      <c r="AI7" s="5">
        <v>56.715063520871141</v>
      </c>
      <c r="AJ7" s="5">
        <v>69.419237749546269</v>
      </c>
      <c r="AK7" s="5">
        <f t="shared" si="2"/>
        <v>12.704174228675129</v>
      </c>
      <c r="AL7" s="5">
        <v>90.290381125226858</v>
      </c>
      <c r="AM7" s="5">
        <v>134.30127041742287</v>
      </c>
      <c r="AN7" s="5">
        <f t="shared" si="3"/>
        <v>44.010889292196012</v>
      </c>
      <c r="AO7" s="5">
        <v>210646.57</v>
      </c>
      <c r="AP7" s="5">
        <v>1899.0125</v>
      </c>
      <c r="AQ7" s="5">
        <v>1445.8824999999999</v>
      </c>
      <c r="AR7" s="5">
        <v>93.37</v>
      </c>
      <c r="AS7" s="5">
        <v>80.602500000000006</v>
      </c>
      <c r="AT7" s="5">
        <v>197.47</v>
      </c>
      <c r="AU7" s="5">
        <v>138.89250000000001</v>
      </c>
      <c r="AV7" s="5">
        <v>742.51499999999999</v>
      </c>
      <c r="AW7" s="5">
        <v>62.917499999999997</v>
      </c>
      <c r="AX7" s="5">
        <v>20.13</v>
      </c>
      <c r="AY7" s="5">
        <v>11.1325</v>
      </c>
      <c r="AZ7" s="5">
        <v>5723.5216733866655</v>
      </c>
      <c r="BA7" s="5">
        <v>4618.5216929914513</v>
      </c>
      <c r="BB7" s="5">
        <f>BA7-AZ7</f>
        <v>-1104.9999803952142</v>
      </c>
      <c r="BC7" s="5">
        <v>75</v>
      </c>
      <c r="BD7" s="5">
        <v>117</v>
      </c>
      <c r="BE7" s="5">
        <v>4176.4420831999996</v>
      </c>
      <c r="BF7" s="5">
        <v>4023.8516800000002</v>
      </c>
      <c r="BG7" s="5">
        <f>BF7-BE7</f>
        <v>-152.5904031999994</v>
      </c>
      <c r="BH7" s="5">
        <v>35</v>
      </c>
      <c r="BI7" s="5">
        <v>54</v>
      </c>
      <c r="BJ7" s="5">
        <f t="shared" si="15"/>
        <v>5231.2690765090902</v>
      </c>
      <c r="BK7" s="5">
        <f t="shared" si="15"/>
        <v>4430.7311625730981</v>
      </c>
      <c r="BL7" s="5">
        <f>BK7-BJ7</f>
        <v>-800.53791393599204</v>
      </c>
      <c r="BM7" s="5">
        <v>73.916222197847745</v>
      </c>
      <c r="BN7" s="5">
        <v>63.729775623362926</v>
      </c>
      <c r="BO7" s="5">
        <v>0.44</v>
      </c>
      <c r="BP7" s="5">
        <v>0.36752136752136755</v>
      </c>
      <c r="BQ7" s="5">
        <v>13008.003803151512</v>
      </c>
      <c r="BR7" s="5">
        <v>12566.675304186041</v>
      </c>
      <c r="BS7" s="5">
        <v>62.774505843758341</v>
      </c>
      <c r="BT7" s="5">
        <v>60.940567856271407</v>
      </c>
      <c r="BU7" s="5">
        <v>0.68571428571428572</v>
      </c>
      <c r="BV7" s="5">
        <v>0.27777777777777779</v>
      </c>
      <c r="BW7" s="5">
        <v>6090.6447046666663</v>
      </c>
      <c r="BX7" s="5">
        <v>14485.866048</v>
      </c>
    </row>
    <row r="8" spans="1:76" x14ac:dyDescent="0.25">
      <c r="A8" s="31" t="s">
        <v>16</v>
      </c>
      <c r="B8" s="28" t="s">
        <v>2</v>
      </c>
      <c r="C8" s="32">
        <v>49.2</v>
      </c>
      <c r="D8" s="32">
        <v>51.2</v>
      </c>
      <c r="E8" s="32">
        <f t="shared" si="5"/>
        <v>2</v>
      </c>
      <c r="F8" s="28">
        <v>22.8</v>
      </c>
      <c r="G8" s="28">
        <v>23.4</v>
      </c>
      <c r="H8" s="28">
        <f t="shared" si="6"/>
        <v>0.59999999999999787</v>
      </c>
      <c r="I8" s="28">
        <v>1.99</v>
      </c>
      <c r="J8" s="28">
        <v>2.48</v>
      </c>
      <c r="K8" s="28">
        <f t="shared" si="7"/>
        <v>0.49</v>
      </c>
      <c r="L8" s="28">
        <f t="shared" si="8"/>
        <v>24.623115577889447</v>
      </c>
      <c r="M8" s="30">
        <v>122.2</v>
      </c>
      <c r="N8" s="30">
        <v>137.30000000000001</v>
      </c>
      <c r="O8" s="30">
        <f t="shared" si="9"/>
        <v>15.100000000000009</v>
      </c>
      <c r="P8" s="30">
        <f t="shared" si="10"/>
        <v>12.356792144026194</v>
      </c>
      <c r="Q8" s="30">
        <v>77.400000000000006</v>
      </c>
      <c r="R8" s="30">
        <v>77.5</v>
      </c>
      <c r="S8" s="30">
        <f t="shared" si="11"/>
        <v>9.9999999999994316E-2</v>
      </c>
      <c r="T8" s="30">
        <v>118</v>
      </c>
      <c r="U8" s="30">
        <v>132</v>
      </c>
      <c r="V8" s="30">
        <f t="shared" si="12"/>
        <v>14</v>
      </c>
      <c r="W8" s="30">
        <v>53.5</v>
      </c>
      <c r="X8" s="30">
        <v>58.1</v>
      </c>
      <c r="Y8" s="30">
        <f t="shared" si="13"/>
        <v>4.6000000000000014</v>
      </c>
      <c r="Z8" s="30">
        <v>4.3</v>
      </c>
      <c r="AA8" s="30">
        <v>5.3</v>
      </c>
      <c r="AB8" s="30">
        <f t="shared" si="14"/>
        <v>1</v>
      </c>
      <c r="AC8" s="30">
        <v>49.5</v>
      </c>
      <c r="AD8" s="30">
        <v>53.6</v>
      </c>
      <c r="AE8" s="30">
        <f t="shared" si="0"/>
        <v>4.1000000000000014</v>
      </c>
      <c r="AF8" s="5">
        <v>128.85662431941924</v>
      </c>
      <c r="AG8" s="5">
        <v>187.84029038112521</v>
      </c>
      <c r="AH8" s="5">
        <f t="shared" si="1"/>
        <v>58.983666061705975</v>
      </c>
      <c r="AI8" s="5">
        <v>74.8638838475499</v>
      </c>
      <c r="AJ8" s="5">
        <v>92.558983666061692</v>
      </c>
      <c r="AK8" s="5">
        <f t="shared" si="2"/>
        <v>17.695099818511792</v>
      </c>
      <c r="AL8" s="5">
        <v>79.401088929219597</v>
      </c>
      <c r="AM8" s="5">
        <v>119.32849364791288</v>
      </c>
      <c r="AN8" s="5">
        <f t="shared" si="3"/>
        <v>39.927404718693282</v>
      </c>
      <c r="AO8" s="5">
        <v>188532.28</v>
      </c>
      <c r="AP8" s="5">
        <v>2116.0250000000001</v>
      </c>
      <c r="AQ8" s="5">
        <v>1060.7850000000001</v>
      </c>
      <c r="AR8" s="5">
        <v>94.202500000000001</v>
      </c>
      <c r="AS8" s="5">
        <v>59.564999999999998</v>
      </c>
      <c r="AT8" s="5">
        <v>289.42500000000001</v>
      </c>
      <c r="AU8" s="5">
        <v>104.7675</v>
      </c>
      <c r="AV8" s="5">
        <v>98.27</v>
      </c>
      <c r="AW8" s="5">
        <v>50.942500000000003</v>
      </c>
      <c r="AX8" s="5">
        <v>19.912500000000001</v>
      </c>
      <c r="AY8" s="5">
        <v>13.115</v>
      </c>
      <c r="AZ8" s="5">
        <v>3518.9596151641795</v>
      </c>
      <c r="BA8" s="5">
        <v>5424.5702478399999</v>
      </c>
      <c r="BB8" s="5">
        <f>BA8-AZ8</f>
        <v>1905.6106326758204</v>
      </c>
      <c r="BC8" s="5">
        <v>134</v>
      </c>
      <c r="BD8" s="5">
        <v>100</v>
      </c>
      <c r="BE8" s="5">
        <v>4189.9366798688525</v>
      </c>
      <c r="BF8" s="5">
        <v>5345.1866858666663</v>
      </c>
      <c r="BG8" s="5">
        <f>BF8-BE8</f>
        <v>1155.2500059978138</v>
      </c>
      <c r="BH8" s="5">
        <v>61</v>
      </c>
      <c r="BI8" s="5">
        <v>45</v>
      </c>
      <c r="BJ8" s="5">
        <f t="shared" si="15"/>
        <v>3728.8550046358978</v>
      </c>
      <c r="BK8" s="5">
        <f t="shared" si="15"/>
        <v>5399.9339699862066</v>
      </c>
      <c r="BL8" s="5">
        <f>BK8-BJ8</f>
        <v>1671.0789653503089</v>
      </c>
      <c r="BM8" s="5">
        <v>58.670318724556168</v>
      </c>
      <c r="BN8" s="5">
        <v>69.681457098538431</v>
      </c>
      <c r="BO8" s="5">
        <v>0.44776119402985076</v>
      </c>
      <c r="BP8" s="5">
        <v>0.59</v>
      </c>
      <c r="BQ8" s="5">
        <v>7859.009807200001</v>
      </c>
      <c r="BR8" s="5">
        <v>9194.1868607457636</v>
      </c>
      <c r="BS8" s="5">
        <v>63.123052325675253</v>
      </c>
      <c r="BT8" s="5">
        <v>71.209191297798128</v>
      </c>
      <c r="BU8" s="5">
        <v>0.42622950819672129</v>
      </c>
      <c r="BV8" s="5">
        <v>0.6</v>
      </c>
      <c r="BW8" s="5">
        <v>9830.2360566153857</v>
      </c>
      <c r="BX8" s="5">
        <v>8908.6444764444441</v>
      </c>
    </row>
    <row r="9" spans="1:76" s="48" customFormat="1" ht="15.75" thickBot="1" x14ac:dyDescent="0.3">
      <c r="A9" s="44" t="s">
        <v>18</v>
      </c>
      <c r="B9" s="45" t="s">
        <v>2</v>
      </c>
      <c r="C9" s="46">
        <v>61.2</v>
      </c>
      <c r="D9" s="46">
        <v>61.7</v>
      </c>
      <c r="E9" s="46">
        <f t="shared" si="5"/>
        <v>0.5</v>
      </c>
      <c r="F9" s="45">
        <v>9</v>
      </c>
      <c r="G9" s="45">
        <v>10.9</v>
      </c>
      <c r="H9" s="45">
        <f t="shared" si="6"/>
        <v>1.9000000000000004</v>
      </c>
      <c r="I9" s="45">
        <v>3.11</v>
      </c>
      <c r="J9" s="45">
        <v>3.88</v>
      </c>
      <c r="K9" s="45">
        <f t="shared" si="7"/>
        <v>0.77</v>
      </c>
      <c r="L9" s="45">
        <f t="shared" si="8"/>
        <v>24.758842443729908</v>
      </c>
      <c r="M9" s="47">
        <v>179.8</v>
      </c>
      <c r="N9" s="47">
        <v>192.4</v>
      </c>
      <c r="O9" s="47">
        <f t="shared" si="9"/>
        <v>12.599999999999994</v>
      </c>
      <c r="P9" s="47">
        <f t="shared" si="10"/>
        <v>7.0077864293659591</v>
      </c>
      <c r="Q9" s="47">
        <v>78.3</v>
      </c>
      <c r="R9" s="47">
        <v>79.3</v>
      </c>
      <c r="S9" s="47">
        <f t="shared" si="11"/>
        <v>1</v>
      </c>
      <c r="T9" s="47">
        <v>171.6</v>
      </c>
      <c r="U9" s="47">
        <v>181.9</v>
      </c>
      <c r="V9" s="47">
        <f t="shared" si="12"/>
        <v>10.300000000000011</v>
      </c>
      <c r="W9" s="47">
        <v>23.1</v>
      </c>
      <c r="X9" s="47">
        <v>29.2</v>
      </c>
      <c r="Y9" s="47">
        <f t="shared" si="13"/>
        <v>6.0999999999999979</v>
      </c>
      <c r="Z9" s="47">
        <v>8.1</v>
      </c>
      <c r="AA9" s="47">
        <v>10.5</v>
      </c>
      <c r="AB9" s="47">
        <f t="shared" si="14"/>
        <v>2.4000000000000004</v>
      </c>
      <c r="AC9" s="47">
        <v>18.399999999999999</v>
      </c>
      <c r="AD9" s="47">
        <v>24.1</v>
      </c>
      <c r="AE9" s="47">
        <f t="shared" si="0"/>
        <v>5.7000000000000028</v>
      </c>
      <c r="AF9" s="67">
        <v>205.53539019963699</v>
      </c>
      <c r="AG9" s="67">
        <v>263.61161524500903</v>
      </c>
      <c r="AH9" s="67">
        <f t="shared" si="1"/>
        <v>58.076225045372041</v>
      </c>
      <c r="AI9" s="67">
        <v>90.290381125226858</v>
      </c>
      <c r="AJ9" s="67">
        <v>97.549909255898356</v>
      </c>
      <c r="AK9" s="67">
        <f t="shared" si="2"/>
        <v>7.259528130671498</v>
      </c>
      <c r="AL9" s="67">
        <v>139.29219600725952</v>
      </c>
      <c r="AM9" s="67">
        <v>178.31215970961887</v>
      </c>
      <c r="AN9" s="67">
        <f t="shared" si="3"/>
        <v>39.019963702359348</v>
      </c>
      <c r="AO9" s="67">
        <v>267915.11</v>
      </c>
      <c r="AP9" s="67">
        <v>2792.6675</v>
      </c>
      <c r="AQ9" s="67">
        <v>3102.7575000000002</v>
      </c>
      <c r="AR9" s="67">
        <v>104.605</v>
      </c>
      <c r="AS9" s="67">
        <v>117.78</v>
      </c>
      <c r="AT9" s="67">
        <v>415.23250000000002</v>
      </c>
      <c r="AU9" s="67">
        <v>332.40249999999997</v>
      </c>
      <c r="AV9" s="67">
        <v>716.89499999999998</v>
      </c>
      <c r="AW9" s="67">
        <v>147.57</v>
      </c>
      <c r="AX9" s="67">
        <v>16.914999999999999</v>
      </c>
      <c r="AY9" s="67">
        <v>20.522500000000001</v>
      </c>
      <c r="AZ9" s="67">
        <v>8521.1796720000002</v>
      </c>
      <c r="BA9" s="67">
        <v>9092.6077368510632</v>
      </c>
      <c r="BB9" s="67">
        <f>BA9-AZ9</f>
        <v>571.42806485106303</v>
      </c>
      <c r="BC9" s="67">
        <v>44</v>
      </c>
      <c r="BD9" s="67">
        <v>47</v>
      </c>
      <c r="BE9" s="67">
        <v>5513.8229333333338</v>
      </c>
      <c r="BF9" s="67">
        <v>5536.7962568727271</v>
      </c>
      <c r="BG9" s="67">
        <f>BF9-BE9</f>
        <v>22.973323539393277</v>
      </c>
      <c r="BH9" s="67">
        <v>66</v>
      </c>
      <c r="BI9" s="67">
        <v>55</v>
      </c>
      <c r="BJ9" s="67">
        <f t="shared" si="15"/>
        <v>6716.7656288000007</v>
      </c>
      <c r="BK9" s="67">
        <f t="shared" si="15"/>
        <v>7175.2584094117638</v>
      </c>
      <c r="BL9" s="67">
        <f>BK9-BJ9</f>
        <v>458.49278061176301</v>
      </c>
      <c r="BM9" s="67">
        <v>90.302483019550834</v>
      </c>
      <c r="BN9" s="67">
        <v>92.279963082370855</v>
      </c>
      <c r="BO9" s="67">
        <v>4.7272727272727275</v>
      </c>
      <c r="BP9" s="67">
        <v>4.4468085106382977</v>
      </c>
      <c r="BQ9" s="67">
        <v>1802.5572383076922</v>
      </c>
      <c r="BR9" s="67">
        <v>2044.7491082870813</v>
      </c>
      <c r="BS9" s="67">
        <v>70.600385672570127</v>
      </c>
      <c r="BT9" s="67">
        <v>71.737091289546456</v>
      </c>
      <c r="BU9" s="67">
        <v>16.803030303030305</v>
      </c>
      <c r="BV9" s="67">
        <v>6.0181818181818185</v>
      </c>
      <c r="BW9" s="67">
        <v>328.14455689810643</v>
      </c>
      <c r="BX9" s="67">
        <v>920.01146262235636</v>
      </c>
    </row>
    <row r="10" spans="1:76" ht="15.75" thickTop="1" x14ac:dyDescent="0.25">
      <c r="A10" s="33" t="s">
        <v>27</v>
      </c>
      <c r="B10" s="28"/>
      <c r="C10" s="34">
        <f t="shared" ref="C10:BN10" si="16">AVERAGE(C2:C9)</f>
        <v>55.924999999999997</v>
      </c>
      <c r="D10" s="34">
        <f t="shared" si="16"/>
        <v>57.48749999999999</v>
      </c>
      <c r="E10" s="34">
        <f t="shared" si="16"/>
        <v>1.5624999999999991</v>
      </c>
      <c r="F10" s="35">
        <f t="shared" si="16"/>
        <v>16.149999999999999</v>
      </c>
      <c r="G10" s="35">
        <f t="shared" si="16"/>
        <v>16.899999999999999</v>
      </c>
      <c r="H10" s="35">
        <f t="shared" si="16"/>
        <v>0.74999999999999967</v>
      </c>
      <c r="I10" s="35">
        <f t="shared" si="16"/>
        <v>1.865</v>
      </c>
      <c r="J10" s="35">
        <f t="shared" si="16"/>
        <v>2.46</v>
      </c>
      <c r="K10" s="35">
        <f t="shared" si="16"/>
        <v>0.59499999999999997</v>
      </c>
      <c r="L10" s="28"/>
      <c r="M10" s="35">
        <f t="shared" si="16"/>
        <v>142.86250000000001</v>
      </c>
      <c r="N10" s="35">
        <f t="shared" si="16"/>
        <v>155.47499999999999</v>
      </c>
      <c r="O10" s="35">
        <f t="shared" si="16"/>
        <v>12.612500000000002</v>
      </c>
      <c r="P10" s="30"/>
      <c r="Q10" s="35">
        <f t="shared" si="16"/>
        <v>77.599999999999994</v>
      </c>
      <c r="R10" s="35">
        <f t="shared" si="16"/>
        <v>78.775000000000006</v>
      </c>
      <c r="S10" s="35">
        <f t="shared" si="16"/>
        <v>1.1750000000000007</v>
      </c>
      <c r="T10" s="35">
        <f t="shared" si="16"/>
        <v>136.38749999999999</v>
      </c>
      <c r="U10" s="35">
        <f t="shared" si="16"/>
        <v>147.70000000000002</v>
      </c>
      <c r="V10" s="35">
        <f t="shared" si="16"/>
        <v>11.3125</v>
      </c>
      <c r="W10" s="35">
        <f t="shared" si="16"/>
        <v>46.45</v>
      </c>
      <c r="X10" s="35">
        <f t="shared" si="16"/>
        <v>50.4375</v>
      </c>
      <c r="Y10" s="35">
        <f t="shared" si="16"/>
        <v>3.9875000000000007</v>
      </c>
      <c r="Z10" s="35">
        <f t="shared" si="16"/>
        <v>6.4749999999999996</v>
      </c>
      <c r="AA10" s="35">
        <f t="shared" si="16"/>
        <v>7.7749999999999995</v>
      </c>
      <c r="AB10" s="35">
        <f t="shared" si="16"/>
        <v>1.3000000000000005</v>
      </c>
      <c r="AC10" s="35">
        <f t="shared" si="16"/>
        <v>42.125</v>
      </c>
      <c r="AD10" s="35">
        <f t="shared" si="16"/>
        <v>45.712500000000006</v>
      </c>
      <c r="AE10" s="35">
        <f t="shared" si="16"/>
        <v>3.5875000000000008</v>
      </c>
      <c r="AF10" s="34">
        <f t="shared" si="16"/>
        <v>154.09482758620689</v>
      </c>
      <c r="AG10" s="34">
        <f t="shared" si="16"/>
        <v>228.90199637023591</v>
      </c>
      <c r="AH10" s="34">
        <f t="shared" si="16"/>
        <v>74.807168784029017</v>
      </c>
      <c r="AI10" s="34">
        <f t="shared" si="16"/>
        <v>64.882032667876572</v>
      </c>
      <c r="AJ10" s="34">
        <f t="shared" si="16"/>
        <v>79.287658802177859</v>
      </c>
      <c r="AK10" s="34">
        <f t="shared" si="16"/>
        <v>14.405626134301267</v>
      </c>
      <c r="AL10" s="34">
        <f t="shared" si="16"/>
        <v>101.74682395644282</v>
      </c>
      <c r="AM10" s="34">
        <f t="shared" si="16"/>
        <v>133.50725952813065</v>
      </c>
      <c r="AN10" s="34">
        <f t="shared" si="16"/>
        <v>31.760435571687839</v>
      </c>
      <c r="AO10" s="34">
        <f t="shared" si="16"/>
        <v>214098.94875000004</v>
      </c>
      <c r="AP10" s="34">
        <f t="shared" si="16"/>
        <v>1539.631875</v>
      </c>
      <c r="AQ10" s="34">
        <f t="shared" si="16"/>
        <v>1918.3731250000001</v>
      </c>
      <c r="AR10" s="34">
        <f t="shared" si="16"/>
        <v>75.835312500000001</v>
      </c>
      <c r="AS10" s="34">
        <f t="shared" si="16"/>
        <v>85.949062499999997</v>
      </c>
      <c r="AT10" s="34">
        <f t="shared" si="16"/>
        <v>209.91906250000002</v>
      </c>
      <c r="AU10" s="34">
        <f t="shared" si="16"/>
        <v>208.75124999999997</v>
      </c>
      <c r="AV10" s="34">
        <f t="shared" si="16"/>
        <v>414.15812499999998</v>
      </c>
      <c r="AW10" s="34">
        <f t="shared" si="16"/>
        <v>81.695937499999999</v>
      </c>
      <c r="AX10" s="34">
        <f t="shared" si="16"/>
        <v>13.035937499999999</v>
      </c>
      <c r="AY10" s="34">
        <f t="shared" si="16"/>
        <v>14.088749999999997</v>
      </c>
      <c r="AZ10" s="34">
        <f t="shared" si="16"/>
        <v>5390.7945252391564</v>
      </c>
      <c r="BA10" s="34">
        <f t="shared" si="16"/>
        <v>6690.659318665018</v>
      </c>
      <c r="BB10" s="34">
        <f t="shared" si="16"/>
        <v>1299.864793425862</v>
      </c>
      <c r="BC10" s="34">
        <f t="shared" si="16"/>
        <v>88.285714285714292</v>
      </c>
      <c r="BD10" s="34">
        <f t="shared" si="16"/>
        <v>80.571428571428569</v>
      </c>
      <c r="BE10" s="34">
        <f t="shared" si="16"/>
        <v>4353.1368210168721</v>
      </c>
      <c r="BF10" s="34">
        <f t="shared" si="16"/>
        <v>5144.1914313129337</v>
      </c>
      <c r="BG10" s="34">
        <f t="shared" si="16"/>
        <v>791.05461029606124</v>
      </c>
      <c r="BH10" s="34">
        <f t="shared" si="16"/>
        <v>61.857142857142854</v>
      </c>
      <c r="BI10" s="34">
        <f t="shared" si="16"/>
        <v>51</v>
      </c>
      <c r="BJ10" s="34">
        <f t="shared" si="16"/>
        <v>4890.574661917678</v>
      </c>
      <c r="BK10" s="34">
        <f t="shared" si="16"/>
        <v>5986.6190383515595</v>
      </c>
      <c r="BL10" s="34">
        <f t="shared" si="16"/>
        <v>1096.044376433882</v>
      </c>
      <c r="BM10" s="34">
        <f t="shared" si="16"/>
        <v>69.495565973821584</v>
      </c>
      <c r="BN10" s="34">
        <f t="shared" si="16"/>
        <v>76.131805146717937</v>
      </c>
      <c r="BO10" s="34">
        <f t="shared" ref="BO10:BX10" si="17">AVERAGE(BO2:BO9)</f>
        <v>1.2004034925611509</v>
      </c>
      <c r="BP10" s="34">
        <f t="shared" si="17"/>
        <v>1.6287241631915417</v>
      </c>
      <c r="BQ10" s="34">
        <f t="shared" si="17"/>
        <v>7924.9233148776057</v>
      </c>
      <c r="BR10" s="34">
        <f t="shared" si="17"/>
        <v>7113.6321747091624</v>
      </c>
      <c r="BS10" s="34">
        <f t="shared" si="17"/>
        <v>62.243581607459888</v>
      </c>
      <c r="BT10" s="34">
        <f t="shared" si="17"/>
        <v>67.507201923916782</v>
      </c>
      <c r="BU10" s="34">
        <f t="shared" si="17"/>
        <v>2.8960072251802287</v>
      </c>
      <c r="BV10" s="34">
        <f t="shared" si="17"/>
        <v>1.5875972266216167</v>
      </c>
      <c r="BW10" s="34">
        <f t="shared" si="17"/>
        <v>6787.7337794547266</v>
      </c>
      <c r="BX10" s="34">
        <f t="shared" si="17"/>
        <v>6998.7598052411749</v>
      </c>
    </row>
    <row r="11" spans="1:76" x14ac:dyDescent="0.25">
      <c r="A11" s="33" t="s">
        <v>44</v>
      </c>
      <c r="B11" s="28"/>
      <c r="C11" s="34">
        <f>STDEV(C2:C9)</f>
        <v>6.0979504753646756</v>
      </c>
      <c r="D11" s="34">
        <f>STDEV(D2:D9)</f>
        <v>6.5116242213445537</v>
      </c>
      <c r="E11" s="34">
        <v>0.98</v>
      </c>
      <c r="F11" s="35">
        <f t="shared" ref="F11:BQ11" si="18">STDEV(F2:F9)</f>
        <v>11.119095543895902</v>
      </c>
      <c r="G11" s="35">
        <f t="shared" si="18"/>
        <v>12.96456709651348</v>
      </c>
      <c r="H11" s="35">
        <f t="shared" si="18"/>
        <v>2.3207141757903509</v>
      </c>
      <c r="I11" s="35">
        <f t="shared" si="18"/>
        <v>0.61085420285273995</v>
      </c>
      <c r="J11" s="35">
        <f t="shared" si="18"/>
        <v>0.64686055021818401</v>
      </c>
      <c r="K11" s="35">
        <f t="shared" si="18"/>
        <v>0.29799328851502688</v>
      </c>
      <c r="L11" s="28"/>
      <c r="M11" s="35">
        <f t="shared" si="18"/>
        <v>21.715165043285815</v>
      </c>
      <c r="N11" s="35">
        <f t="shared" si="18"/>
        <v>23.01352087050455</v>
      </c>
      <c r="O11" s="35">
        <f t="shared" si="18"/>
        <v>7.8566509586282569</v>
      </c>
      <c r="P11" s="30"/>
      <c r="Q11" s="35">
        <f t="shared" si="18"/>
        <v>1.5711688096991459</v>
      </c>
      <c r="R11" s="35">
        <f t="shared" si="18"/>
        <v>0.96028269647164921</v>
      </c>
      <c r="S11" s="35">
        <f t="shared" si="18"/>
        <v>1.0388867668257773</v>
      </c>
      <c r="T11" s="35">
        <f t="shared" si="18"/>
        <v>19.675760105121515</v>
      </c>
      <c r="U11" s="35">
        <f t="shared" si="18"/>
        <v>18.705537759100494</v>
      </c>
      <c r="V11" s="35">
        <f t="shared" si="18"/>
        <v>5.8401168041156666</v>
      </c>
      <c r="W11" s="35">
        <f t="shared" si="18"/>
        <v>27.994336161853465</v>
      </c>
      <c r="X11" s="35">
        <f t="shared" si="18"/>
        <v>36.862522101916547</v>
      </c>
      <c r="Y11" s="35">
        <f t="shared" si="18"/>
        <v>10.508831320098624</v>
      </c>
      <c r="Z11" s="35">
        <f t="shared" si="18"/>
        <v>4.372560544381944</v>
      </c>
      <c r="AA11" s="35">
        <f t="shared" si="18"/>
        <v>6.4822284527996805</v>
      </c>
      <c r="AB11" s="35">
        <f t="shared" si="18"/>
        <v>2.2418104928192055</v>
      </c>
      <c r="AC11" s="35">
        <f t="shared" si="18"/>
        <v>27.440207725161269</v>
      </c>
      <c r="AD11" s="35">
        <f t="shared" si="18"/>
        <v>35.874839472015161</v>
      </c>
      <c r="AE11" s="35">
        <f t="shared" si="18"/>
        <v>10.137545138176769</v>
      </c>
      <c r="AF11" s="34">
        <f t="shared" si="18"/>
        <v>45.025208848730585</v>
      </c>
      <c r="AG11" s="34">
        <f t="shared" si="18"/>
        <v>48.955580796711111</v>
      </c>
      <c r="AH11" s="34">
        <f t="shared" si="18"/>
        <v>24.654591389912582</v>
      </c>
      <c r="AI11" s="34">
        <f t="shared" si="18"/>
        <v>14.92851779958721</v>
      </c>
      <c r="AJ11" s="34">
        <f t="shared" si="18"/>
        <v>15.949052635527988</v>
      </c>
      <c r="AK11" s="34">
        <f t="shared" si="18"/>
        <v>9.1639027580393329</v>
      </c>
      <c r="AL11" s="34">
        <f t="shared" si="18"/>
        <v>23.539494219044027</v>
      </c>
      <c r="AM11" s="34">
        <f t="shared" si="18"/>
        <v>26.566875878489032</v>
      </c>
      <c r="AN11" s="34">
        <f t="shared" si="18"/>
        <v>10.046459305158187</v>
      </c>
      <c r="AO11" s="34">
        <f t="shared" si="18"/>
        <v>44982.677437675178</v>
      </c>
      <c r="AP11" s="34">
        <f t="shared" si="18"/>
        <v>838.55617861654446</v>
      </c>
      <c r="AQ11" s="34">
        <f t="shared" si="18"/>
        <v>749.28296267134886</v>
      </c>
      <c r="AR11" s="34">
        <f t="shared" si="18"/>
        <v>28.015351099171003</v>
      </c>
      <c r="AS11" s="34">
        <f t="shared" si="18"/>
        <v>25.428337677308953</v>
      </c>
      <c r="AT11" s="34">
        <f t="shared" si="18"/>
        <v>106.0175712856928</v>
      </c>
      <c r="AU11" s="34">
        <f t="shared" si="18"/>
        <v>91.57071530672745</v>
      </c>
      <c r="AV11" s="34">
        <f t="shared" si="18"/>
        <v>397.16472235295066</v>
      </c>
      <c r="AW11" s="34">
        <f t="shared" si="18"/>
        <v>40.083884763649536</v>
      </c>
      <c r="AX11" s="34">
        <f t="shared" si="18"/>
        <v>6.5987169934633103</v>
      </c>
      <c r="AY11" s="34">
        <f t="shared" si="18"/>
        <v>3.4427498871852937</v>
      </c>
      <c r="AZ11" s="34">
        <f t="shared" si="18"/>
        <v>1776.1493668326864</v>
      </c>
      <c r="BA11" s="34">
        <f t="shared" si="18"/>
        <v>2202.5796015387959</v>
      </c>
      <c r="BB11" s="34">
        <f t="shared" si="18"/>
        <v>1836.9713016774115</v>
      </c>
      <c r="BC11" s="34">
        <f t="shared" si="18"/>
        <v>30.483406883714547</v>
      </c>
      <c r="BD11" s="34">
        <f t="shared" si="18"/>
        <v>32.755951840121824</v>
      </c>
      <c r="BE11" s="34">
        <f t="shared" si="18"/>
        <v>819.59622783390637</v>
      </c>
      <c r="BF11" s="34">
        <f t="shared" si="18"/>
        <v>1551.4608538943685</v>
      </c>
      <c r="BG11" s="34">
        <f t="shared" si="18"/>
        <v>1162.569163211758</v>
      </c>
      <c r="BH11" s="34">
        <f t="shared" si="18"/>
        <v>17.629790804474215</v>
      </c>
      <c r="BI11" s="34">
        <f t="shared" si="18"/>
        <v>9.1469484893414954</v>
      </c>
      <c r="BJ11" s="34">
        <f t="shared" si="18"/>
        <v>1189.0224150903539</v>
      </c>
      <c r="BK11" s="34">
        <f t="shared" si="18"/>
        <v>1719.5982745932238</v>
      </c>
      <c r="BL11" s="34">
        <f t="shared" si="18"/>
        <v>1511.0149912194386</v>
      </c>
      <c r="BM11" s="34">
        <f t="shared" si="18"/>
        <v>11.647620074505188</v>
      </c>
      <c r="BN11" s="34">
        <f t="shared" si="18"/>
        <v>11.858823738065661</v>
      </c>
      <c r="BO11" s="34">
        <f t="shared" si="18"/>
        <v>1.5804463033670342</v>
      </c>
      <c r="BP11" s="34">
        <f t="shared" si="18"/>
        <v>1.5429998138856442</v>
      </c>
      <c r="BQ11" s="34">
        <f t="shared" si="18"/>
        <v>3789.0217132684711</v>
      </c>
      <c r="BR11" s="34">
        <f t="shared" ref="BR11:BX11" si="19">STDEV(BR2:BR9)</f>
        <v>4166.4178808764646</v>
      </c>
      <c r="BS11" s="34">
        <f t="shared" si="19"/>
        <v>6.3062130590947083</v>
      </c>
      <c r="BT11" s="34">
        <f t="shared" si="19"/>
        <v>9.2963329037930098</v>
      </c>
      <c r="BU11" s="34">
        <f t="shared" si="19"/>
        <v>6.1349042801742337</v>
      </c>
      <c r="BV11" s="34">
        <f t="shared" si="19"/>
        <v>2.0410317141461412</v>
      </c>
      <c r="BW11" s="34">
        <f t="shared" si="19"/>
        <v>3870.2704969362453</v>
      </c>
      <c r="BX11" s="34">
        <f t="shared" si="19"/>
        <v>4399.4428267491348</v>
      </c>
    </row>
    <row r="12" spans="1:76" x14ac:dyDescent="0.25">
      <c r="A12" s="33" t="s">
        <v>45</v>
      </c>
      <c r="B12" s="28"/>
      <c r="C12" s="28"/>
      <c r="D12" s="36">
        <f>TTEST(C2:C9,D2:D9,2,1)</f>
        <v>3.6492983132556871E-3</v>
      </c>
      <c r="E12" s="28"/>
      <c r="F12" s="28"/>
      <c r="G12" s="36">
        <f>TTEST(G2:G9,F2:F9,2,1)</f>
        <v>0.39107215424275471</v>
      </c>
      <c r="H12" s="28"/>
      <c r="I12" s="28"/>
      <c r="J12" s="36">
        <f>TTEST(I2:I9,J2:J9,2,1)</f>
        <v>7.7650551493857706E-4</v>
      </c>
      <c r="K12" s="36"/>
      <c r="L12" s="28"/>
      <c r="M12" s="30"/>
      <c r="N12" s="36">
        <f>TTEST(M2:M9,N2:N9,2,1)</f>
        <v>2.665938185386873E-3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G12" s="36">
        <f>TTEST(AF2:AF9,AG2:AG9,2,1)</f>
        <v>5.8057040304963411E-5</v>
      </c>
      <c r="AJ12" s="36">
        <f>TTEST(AI2:AI9,AJ2:AJ9,2,1)</f>
        <v>2.9850059520806242E-3</v>
      </c>
      <c r="AM12" s="36">
        <f>TTEST(AL2:AL9,AM2:AM9,2,1)</f>
        <v>4.4499024553684019E-5</v>
      </c>
      <c r="AQ12" s="36">
        <f>TTEST(AP2:AP9,AQ2:AQ9,2,1)</f>
        <v>0.40720988537929814</v>
      </c>
      <c r="AS12" s="36">
        <f>TTEST(AR2:AR9,AS2:AS9,2,1)</f>
        <v>0.54600017580360349</v>
      </c>
      <c r="AU12" s="36">
        <f>TTEST(AT2:AT9,AU2:AU9,2,1)</f>
        <v>0.98003500230527485</v>
      </c>
      <c r="AW12" s="36">
        <f>TTEST(AV2:AV9,AW2:AW9,2,1)</f>
        <v>5.2696784348510654E-2</v>
      </c>
      <c r="BA12" s="36">
        <f>TTEST(AZ2:AZ9,BA2:BA9,2,1)</f>
        <v>0.110346662891821</v>
      </c>
      <c r="BF12" s="36">
        <f>TTEST(BE2:BE9,BF2:BF9,2,1)</f>
        <v>0.1219074997722501</v>
      </c>
      <c r="BK12" s="36">
        <f>TTEST(BJ2:BJ9,BK2:BK9,2,1)</f>
        <v>0.10338824441814835</v>
      </c>
      <c r="BP12" s="36">
        <f>TTEST(BO2:BO9,BP2:BP9,2,1)</f>
        <v>0.270603409960254</v>
      </c>
    </row>
    <row r="13" spans="1:76" ht="26.25" x14ac:dyDescent="0.25">
      <c r="A13" s="33" t="s">
        <v>120</v>
      </c>
      <c r="B13" s="28"/>
      <c r="C13" s="28"/>
      <c r="D13" s="36">
        <v>6.15</v>
      </c>
      <c r="E13" s="28"/>
      <c r="F13" s="28"/>
      <c r="G13" s="36">
        <v>11.67</v>
      </c>
      <c r="H13" s="28"/>
      <c r="I13" s="28"/>
      <c r="J13" s="36">
        <v>0.68</v>
      </c>
      <c r="K13" s="36"/>
      <c r="L13" s="28"/>
      <c r="M13" s="30"/>
      <c r="N13" s="37">
        <v>22.58</v>
      </c>
      <c r="O13" s="30"/>
      <c r="P13" s="30"/>
      <c r="Q13" s="30"/>
      <c r="R13" s="37">
        <v>1.39</v>
      </c>
      <c r="S13" s="30"/>
      <c r="T13" s="30"/>
      <c r="U13" s="37">
        <v>19.440000000000001</v>
      </c>
      <c r="V13" s="30"/>
      <c r="W13" s="30"/>
      <c r="X13" s="37">
        <v>31.69</v>
      </c>
      <c r="Y13" s="30"/>
      <c r="Z13" s="30"/>
      <c r="AA13" s="37">
        <v>5.38</v>
      </c>
      <c r="AB13" s="30"/>
      <c r="AC13" s="30"/>
      <c r="AD13" s="37">
        <v>30.91</v>
      </c>
      <c r="AE13" s="30"/>
    </row>
    <row r="14" spans="1:76" x14ac:dyDescent="0.25">
      <c r="A14" s="33" t="s">
        <v>121</v>
      </c>
      <c r="B14" s="28"/>
      <c r="C14" s="28"/>
      <c r="E14" s="38">
        <v>0.25</v>
      </c>
      <c r="F14" s="28"/>
      <c r="G14" s="36"/>
      <c r="H14" s="38">
        <v>7.0000000000000007E-2</v>
      </c>
      <c r="I14" s="28"/>
      <c r="J14" s="36"/>
      <c r="K14" s="36">
        <v>0.88</v>
      </c>
      <c r="L14" s="28"/>
      <c r="M14" s="30"/>
      <c r="N14" s="30"/>
      <c r="O14" s="37">
        <v>0.56000000000000005</v>
      </c>
      <c r="P14" s="30"/>
      <c r="Q14" s="30"/>
      <c r="R14" s="30"/>
      <c r="S14" s="37">
        <v>0.86</v>
      </c>
      <c r="T14" s="30"/>
      <c r="U14" s="30"/>
      <c r="V14" s="37">
        <v>0.57999999999999996</v>
      </c>
      <c r="W14" s="30"/>
      <c r="X14" s="30"/>
      <c r="Y14" s="37">
        <v>0.13</v>
      </c>
      <c r="Z14" s="30"/>
      <c r="AA14" s="30"/>
      <c r="AB14" s="37">
        <v>0.24</v>
      </c>
      <c r="AC14" s="30"/>
      <c r="AD14" s="30"/>
      <c r="AE14" s="37">
        <v>0.11</v>
      </c>
      <c r="AH14" s="36">
        <f>AH10/AVERAGE(AF11:AG11)</f>
        <v>1.5919672321599259</v>
      </c>
      <c r="AK14" s="36">
        <f>AK10/AVERAGE(AI11:AJ11)</f>
        <v>0.93308028651882646</v>
      </c>
      <c r="AN14" s="36">
        <f>AN10/AVERAGE(AL11:AM11)</f>
        <v>1.2677204718627797</v>
      </c>
      <c r="BB14" s="36">
        <f>BB10/AVERAGE(AZ11:BA11)</f>
        <v>0.65340705725824011</v>
      </c>
      <c r="BG14" s="36">
        <f>BG10/AVERAGE(BE11:BF11)</f>
        <v>0.66725901825987055</v>
      </c>
      <c r="BL14" s="36">
        <f>BL10/AVERAGE(BJ11:BK11)</f>
        <v>0.75365232759388667</v>
      </c>
    </row>
    <row r="15" spans="1:76" x14ac:dyDescent="0.25">
      <c r="A15" s="31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0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30"/>
      <c r="AD15" s="30"/>
      <c r="AE15" s="30"/>
    </row>
    <row r="16" spans="1:76" x14ac:dyDescent="0.25">
      <c r="A16" s="39" t="s">
        <v>3</v>
      </c>
      <c r="B16" s="32" t="s">
        <v>4</v>
      </c>
      <c r="C16" s="32">
        <v>58.7</v>
      </c>
      <c r="D16" s="32">
        <v>61.2</v>
      </c>
      <c r="E16" s="32">
        <f>D16-C16</f>
        <v>2.5</v>
      </c>
      <c r="F16" s="32">
        <v>19.2</v>
      </c>
      <c r="G16" s="32">
        <v>17.600000000000001</v>
      </c>
      <c r="H16" s="32">
        <f>G16-F16</f>
        <v>-1.5999999999999979</v>
      </c>
      <c r="I16" s="32">
        <v>2.1</v>
      </c>
      <c r="J16" s="32">
        <v>2.29</v>
      </c>
      <c r="K16" s="32">
        <f>J16-I16</f>
        <v>0.18999999999999995</v>
      </c>
      <c r="L16" s="28">
        <f t="shared" si="8"/>
        <v>9.0476190476190439</v>
      </c>
      <c r="M16" s="32">
        <v>155.5</v>
      </c>
      <c r="N16" s="32">
        <v>174.2</v>
      </c>
      <c r="O16" s="40">
        <f>N16-M16</f>
        <v>18.699999999999989</v>
      </c>
      <c r="P16" s="30">
        <f t="shared" si="10"/>
        <v>12.025723472668803</v>
      </c>
      <c r="Q16" s="32">
        <v>77.599999999999994</v>
      </c>
      <c r="R16" s="32">
        <v>78.900000000000006</v>
      </c>
      <c r="S16" s="40">
        <f>R16-Q16</f>
        <v>1.3000000000000114</v>
      </c>
      <c r="T16" s="32">
        <v>146.69999999999999</v>
      </c>
      <c r="U16" s="32">
        <v>164.4</v>
      </c>
      <c r="V16" s="40">
        <f>U16-T16</f>
        <v>17.700000000000017</v>
      </c>
      <c r="W16" s="32">
        <v>47.4</v>
      </c>
      <c r="X16" s="32">
        <v>47.8</v>
      </c>
      <c r="Y16" s="40">
        <f>X16-W16</f>
        <v>0.39999999999999858</v>
      </c>
      <c r="Z16" s="32">
        <v>8.8000000000000007</v>
      </c>
      <c r="AA16" s="32">
        <v>9.8000000000000007</v>
      </c>
      <c r="AB16" s="40">
        <f>AA16-Z16</f>
        <v>1</v>
      </c>
      <c r="AC16" s="40">
        <v>42.7</v>
      </c>
      <c r="AD16" s="40">
        <v>42.8</v>
      </c>
      <c r="AE16" s="40">
        <f t="shared" ref="AE16:AE27" si="20">AD16-AC16</f>
        <v>9.9999999999994316E-2</v>
      </c>
      <c r="AF16" s="5">
        <v>209.61887477313974</v>
      </c>
      <c r="AG16" s="5">
        <v>329.40108892921955</v>
      </c>
      <c r="AH16" s="5">
        <f t="shared" ref="AH16:AH27" si="21">AG16-AF16</f>
        <v>119.78221415607982</v>
      </c>
      <c r="AI16" s="5">
        <v>98.003629764065323</v>
      </c>
      <c r="AJ16" s="5">
        <v>112.06896551724137</v>
      </c>
      <c r="AK16" s="5">
        <f t="shared" ref="AK16:AK27" si="22">AJ16-AI16</f>
        <v>14.065335753176043</v>
      </c>
      <c r="AL16" s="5">
        <v>124.31941923774954</v>
      </c>
      <c r="AM16" s="5">
        <v>167.87658802177856</v>
      </c>
      <c r="AN16" s="5">
        <f t="shared" ref="AN16:AN27" si="23">AM16-AL16</f>
        <v>43.557168784029017</v>
      </c>
      <c r="AO16" s="5">
        <v>292019.06</v>
      </c>
      <c r="AP16" s="5">
        <v>1989.3325</v>
      </c>
      <c r="AQ16" s="5">
        <v>2856.125</v>
      </c>
      <c r="AR16" s="5">
        <v>91.93</v>
      </c>
      <c r="AS16" s="5">
        <v>136.9425</v>
      </c>
      <c r="AT16" s="5">
        <v>615.01750000000004</v>
      </c>
      <c r="AU16" s="5">
        <v>308.95999999999998</v>
      </c>
      <c r="AV16" s="5">
        <v>94.122500000000002</v>
      </c>
      <c r="AW16" s="5">
        <v>121.52475</v>
      </c>
      <c r="AX16" s="5">
        <v>8.6875</v>
      </c>
      <c r="AY16" s="5">
        <v>19.440000000000001</v>
      </c>
      <c r="AZ16" s="5">
        <v>5561.5046685714278</v>
      </c>
      <c r="BA16" s="5">
        <v>7264.638723428573</v>
      </c>
      <c r="BB16" s="5">
        <f t="shared" ref="BB16:BB27" si="24">BA16-AZ16</f>
        <v>1703.1340548571452</v>
      </c>
      <c r="BC16" s="5">
        <v>84</v>
      </c>
      <c r="BD16" s="5">
        <v>84</v>
      </c>
      <c r="BE16" s="5">
        <v>4747.7914854901956</v>
      </c>
      <c r="BF16" s="5">
        <v>4518.7416269714276</v>
      </c>
      <c r="BG16" s="5">
        <f t="shared" ref="BG16:BG27" si="25">BF16-BE16</f>
        <v>-229.04985851876791</v>
      </c>
      <c r="BH16" s="5">
        <v>51</v>
      </c>
      <c r="BI16" s="5">
        <v>35</v>
      </c>
      <c r="BJ16" s="5">
        <f t="shared" ref="BJ16:BJ27" si="26">((AZ16*BC16)+(BE16*BH16))/(BC16+BH16)</f>
        <v>5254.1019105185178</v>
      </c>
      <c r="BK16" s="5">
        <f t="shared" ref="BK16:BK27" si="27">((BA16*BD16)+(BF16*BI16))/(BD16+BI16)</f>
        <v>6457.021930352942</v>
      </c>
      <c r="BL16" s="5">
        <f t="shared" ref="BL16:BL27" si="28">BK16-BJ16</f>
        <v>1202.9200198344242</v>
      </c>
      <c r="BM16" s="5">
        <v>73.917896922801475</v>
      </c>
      <c r="BN16" s="5">
        <v>72.183234573897252</v>
      </c>
      <c r="BO16" s="5">
        <v>1.2857142857142858</v>
      </c>
      <c r="BP16" s="5">
        <v>2.8333333333333335</v>
      </c>
      <c r="BQ16" s="5">
        <v>4325.6147422222211</v>
      </c>
      <c r="BR16" s="5">
        <v>2563.9901376806729</v>
      </c>
      <c r="BS16" s="5">
        <v>67.720758731366004</v>
      </c>
      <c r="BT16" s="5">
        <v>59.864299216107959</v>
      </c>
      <c r="BU16" s="5">
        <v>2.2745098039215685</v>
      </c>
      <c r="BV16" s="5">
        <v>2.2857142857142856</v>
      </c>
      <c r="BW16" s="5">
        <v>2087.3910841379311</v>
      </c>
      <c r="BX16" s="5">
        <v>1976.9494617999997</v>
      </c>
    </row>
    <row r="17" spans="1:76" x14ac:dyDescent="0.25">
      <c r="A17" s="39" t="s">
        <v>9</v>
      </c>
      <c r="B17" s="32" t="s">
        <v>4</v>
      </c>
      <c r="C17" s="32">
        <v>57.2</v>
      </c>
      <c r="D17" s="32">
        <v>58.7</v>
      </c>
      <c r="E17" s="32">
        <f t="shared" ref="E17:E27" si="29">D17-C17</f>
        <v>1.5</v>
      </c>
      <c r="F17" s="32">
        <v>30.9</v>
      </c>
      <c r="G17" s="32">
        <v>26.7</v>
      </c>
      <c r="H17" s="32">
        <f t="shared" ref="H17:H27" si="30">G17-F17</f>
        <v>-4.1999999999999993</v>
      </c>
      <c r="I17" s="32">
        <v>2.46</v>
      </c>
      <c r="J17" s="32">
        <v>2.34</v>
      </c>
      <c r="K17" s="32">
        <f t="shared" ref="K17:K27" si="31">J17-I17</f>
        <v>-0.12000000000000011</v>
      </c>
      <c r="L17" s="28">
        <f t="shared" si="8"/>
        <v>-4.8780487804878092</v>
      </c>
      <c r="M17" s="32">
        <v>142.9</v>
      </c>
      <c r="N17" s="32">
        <v>143.1</v>
      </c>
      <c r="O17" s="40">
        <f t="shared" ref="O17:O27" si="32">N17-M17</f>
        <v>0.19999999999998863</v>
      </c>
      <c r="P17" s="30">
        <f t="shared" si="10"/>
        <v>0.13995801259621315</v>
      </c>
      <c r="Q17" s="40">
        <v>76.599999999999994</v>
      </c>
      <c r="R17" s="32">
        <v>78.8</v>
      </c>
      <c r="S17" s="40">
        <f t="shared" ref="S17:S27" si="33">R17-Q17</f>
        <v>2.2000000000000028</v>
      </c>
      <c r="T17" s="32">
        <v>130.9</v>
      </c>
      <c r="U17" s="32">
        <v>132.69999999999999</v>
      </c>
      <c r="V17" s="40">
        <f t="shared" ref="V17:V27" si="34">U17-T17</f>
        <v>1.7999999999999829</v>
      </c>
      <c r="W17" s="32">
        <v>93.6</v>
      </c>
      <c r="X17" s="32">
        <v>84.8</v>
      </c>
      <c r="Y17" s="40">
        <f t="shared" ref="Y17:Y27" si="35">X17-W17</f>
        <v>-8.7999999999999972</v>
      </c>
      <c r="Z17" s="32">
        <v>12</v>
      </c>
      <c r="AA17" s="32">
        <v>10.4</v>
      </c>
      <c r="AB17" s="40">
        <f t="shared" ref="AB17:AB27" si="36">AA17-Z17</f>
        <v>-1.5999999999999996</v>
      </c>
      <c r="AC17" s="40">
        <v>88.6</v>
      </c>
      <c r="AD17" s="40">
        <v>79.900000000000006</v>
      </c>
      <c r="AE17" s="40">
        <f t="shared" si="20"/>
        <v>-8.6999999999999886</v>
      </c>
      <c r="AF17" s="5">
        <v>166.06170598911069</v>
      </c>
      <c r="AG17" s="5">
        <v>322.59528130671504</v>
      </c>
      <c r="AH17" s="5">
        <f t="shared" si="21"/>
        <v>156.53357531760435</v>
      </c>
      <c r="AI17" s="5">
        <v>46.279491833030846</v>
      </c>
      <c r="AJ17" s="5">
        <v>59.891107078039923</v>
      </c>
      <c r="AK17" s="5">
        <f t="shared" si="22"/>
        <v>13.611615245009077</v>
      </c>
      <c r="AL17" s="5">
        <v>90.290381125226858</v>
      </c>
      <c r="AM17" s="5">
        <v>136.56987295825769</v>
      </c>
      <c r="AN17" s="5">
        <f t="shared" si="23"/>
        <v>46.279491833030832</v>
      </c>
      <c r="AO17" s="5">
        <v>228858.89</v>
      </c>
      <c r="AP17" s="5">
        <v>955.14750000000004</v>
      </c>
      <c r="AQ17" s="5">
        <v>1277.1275000000001</v>
      </c>
      <c r="AR17" s="5">
        <v>119.56</v>
      </c>
      <c r="AS17" s="5">
        <v>120.905</v>
      </c>
      <c r="AT17" s="5">
        <v>271.24</v>
      </c>
      <c r="AU17" s="5">
        <v>100.39</v>
      </c>
      <c r="AV17" s="5">
        <v>106.1275</v>
      </c>
      <c r="AW17" s="5">
        <v>46.7575</v>
      </c>
      <c r="AX17" s="5">
        <v>9.8375000000000004</v>
      </c>
      <c r="AY17" s="5">
        <v>3.9824999999999999</v>
      </c>
      <c r="AZ17" s="5">
        <v>7458.4939538461513</v>
      </c>
      <c r="BA17" s="5">
        <v>7894.4747233207527</v>
      </c>
      <c r="BB17" s="5">
        <f t="shared" si="24"/>
        <v>435.9807694746014</v>
      </c>
      <c r="BC17" s="5">
        <v>52</v>
      </c>
      <c r="BD17" s="5">
        <v>53</v>
      </c>
      <c r="BE17" s="5">
        <v>4608.0336969142854</v>
      </c>
      <c r="BF17" s="5">
        <v>5670.54759742857</v>
      </c>
      <c r="BG17" s="5">
        <f t="shared" si="25"/>
        <v>1062.5139005142846</v>
      </c>
      <c r="BH17" s="5">
        <v>70</v>
      </c>
      <c r="BI17" s="5">
        <v>56</v>
      </c>
      <c r="BJ17" s="5">
        <f t="shared" si="26"/>
        <v>5822.9839703606549</v>
      </c>
      <c r="BK17" s="5">
        <f t="shared" si="27"/>
        <v>6751.9066586422005</v>
      </c>
      <c r="BL17" s="5">
        <f t="shared" si="28"/>
        <v>928.92268828154556</v>
      </c>
      <c r="BM17" s="5">
        <v>79.796493626590717</v>
      </c>
      <c r="BN17" s="5">
        <v>84.589386733300273</v>
      </c>
      <c r="BO17" s="5">
        <v>0.73076923076923073</v>
      </c>
      <c r="BP17" s="5">
        <v>0.62264150943396224</v>
      </c>
      <c r="BQ17" s="5">
        <v>10206.360147368418</v>
      </c>
      <c r="BR17" s="5">
        <v>12679.004858666663</v>
      </c>
      <c r="BS17" s="5">
        <v>62.581403924085912</v>
      </c>
      <c r="BT17" s="5">
        <v>70.099560943445681</v>
      </c>
      <c r="BU17" s="5">
        <v>0.67142857142857137</v>
      </c>
      <c r="BV17" s="5">
        <v>0.48214285714285715</v>
      </c>
      <c r="BW17" s="5">
        <v>6863.0289102978722</v>
      </c>
      <c r="BX17" s="5">
        <v>11761.135757629627</v>
      </c>
    </row>
    <row r="18" spans="1:76" x14ac:dyDescent="0.25">
      <c r="A18" s="39" t="s">
        <v>32</v>
      </c>
      <c r="B18" s="32" t="s">
        <v>4</v>
      </c>
      <c r="C18" s="32">
        <v>51.7</v>
      </c>
      <c r="D18" s="32">
        <v>55.6</v>
      </c>
      <c r="E18" s="32">
        <f t="shared" si="29"/>
        <v>3.8999999999999986</v>
      </c>
      <c r="F18" s="32">
        <v>14.9</v>
      </c>
      <c r="G18" s="32">
        <v>15.5</v>
      </c>
      <c r="H18" s="32">
        <f t="shared" si="30"/>
        <v>0.59999999999999964</v>
      </c>
      <c r="I18" s="32">
        <v>1.73</v>
      </c>
      <c r="J18" s="32">
        <v>2.1800000000000002</v>
      </c>
      <c r="K18" s="32">
        <f t="shared" si="31"/>
        <v>0.45000000000000018</v>
      </c>
      <c r="L18" s="28">
        <f t="shared" si="8"/>
        <v>26.011560693641627</v>
      </c>
      <c r="M18" s="32">
        <v>132.9</v>
      </c>
      <c r="N18" s="32">
        <v>148.6</v>
      </c>
      <c r="O18" s="40">
        <f t="shared" si="32"/>
        <v>15.699999999999989</v>
      </c>
      <c r="P18" s="30">
        <f t="shared" si="10"/>
        <v>11.81339352896914</v>
      </c>
      <c r="Q18" s="40">
        <v>78.5</v>
      </c>
      <c r="R18" s="32">
        <v>79.8</v>
      </c>
      <c r="S18" s="40">
        <f t="shared" si="33"/>
        <v>1.2999999999999972</v>
      </c>
      <c r="T18" s="32">
        <v>127.8</v>
      </c>
      <c r="U18" s="32">
        <v>142.80000000000001</v>
      </c>
      <c r="V18" s="40">
        <f t="shared" si="34"/>
        <v>15.000000000000014</v>
      </c>
      <c r="W18" s="32">
        <v>57.1</v>
      </c>
      <c r="X18" s="32">
        <v>58.7</v>
      </c>
      <c r="Y18" s="40">
        <f t="shared" si="35"/>
        <v>1.6000000000000014</v>
      </c>
      <c r="Z18" s="32">
        <v>5</v>
      </c>
      <c r="AA18" s="32">
        <v>5.7</v>
      </c>
      <c r="AB18" s="40">
        <f t="shared" si="36"/>
        <v>0.70000000000000018</v>
      </c>
      <c r="AC18" s="40">
        <v>52.8</v>
      </c>
      <c r="AD18" s="40">
        <v>54.2</v>
      </c>
      <c r="AE18" s="40">
        <f t="shared" si="20"/>
        <v>1.4000000000000057</v>
      </c>
      <c r="AF18" s="5">
        <v>138.38475499092559</v>
      </c>
      <c r="AG18" s="5">
        <v>244.10163339382939</v>
      </c>
      <c r="AH18" s="5">
        <f t="shared" si="21"/>
        <v>105.7168784029038</v>
      </c>
      <c r="AI18" s="5">
        <v>58.983666061705982</v>
      </c>
      <c r="AJ18" s="5">
        <v>75.771324863883848</v>
      </c>
      <c r="AK18" s="5">
        <f t="shared" si="22"/>
        <v>16.787658802177866</v>
      </c>
      <c r="AL18" s="5">
        <v>88.475499092558977</v>
      </c>
      <c r="AM18" s="5">
        <v>117.05989110707803</v>
      </c>
      <c r="AN18" s="5">
        <f t="shared" si="23"/>
        <v>28.584392014519054</v>
      </c>
      <c r="AO18" s="5">
        <v>177613.42</v>
      </c>
      <c r="AP18" s="5">
        <v>2099</v>
      </c>
      <c r="AQ18" s="5">
        <v>2423.7874999999999</v>
      </c>
      <c r="AR18" s="5">
        <v>145.30000000000001</v>
      </c>
      <c r="AS18" s="5">
        <v>90.002499999999998</v>
      </c>
      <c r="AT18" s="5">
        <v>180.89250000000001</v>
      </c>
      <c r="AU18" s="5">
        <v>268.81</v>
      </c>
      <c r="AV18" s="5">
        <v>817.48249999999996</v>
      </c>
      <c r="AW18" s="5">
        <v>104.80249999999999</v>
      </c>
      <c r="AX18" s="5">
        <v>15.25</v>
      </c>
      <c r="AY18" s="5">
        <v>23.07</v>
      </c>
      <c r="AZ18" s="5">
        <v>3511.4776925714295</v>
      </c>
      <c r="BA18" s="5">
        <v>3737.5306913684226</v>
      </c>
      <c r="BB18" s="5">
        <f t="shared" si="24"/>
        <v>226.05299879699305</v>
      </c>
      <c r="BC18" s="5">
        <v>154</v>
      </c>
      <c r="BD18" s="5">
        <v>133</v>
      </c>
      <c r="BE18" s="5">
        <v>4022.9223840000013</v>
      </c>
      <c r="BF18" s="5">
        <v>3933.3242224905644</v>
      </c>
      <c r="BG18" s="5">
        <f t="shared" si="25"/>
        <v>-89.598161509436977</v>
      </c>
      <c r="BH18" s="5">
        <v>48</v>
      </c>
      <c r="BI18" s="5">
        <v>53</v>
      </c>
      <c r="BJ18" s="5">
        <f t="shared" si="26"/>
        <v>3633.0091043960401</v>
      </c>
      <c r="BK18" s="5">
        <f t="shared" si="27"/>
        <v>3793.3213212043015</v>
      </c>
      <c r="BL18" s="5">
        <f t="shared" si="28"/>
        <v>160.31221680826138</v>
      </c>
      <c r="BM18" s="5">
        <v>56.919078572868145</v>
      </c>
      <c r="BN18" s="5">
        <v>57.75887720140399</v>
      </c>
      <c r="BO18" s="5">
        <v>0.25974025974025972</v>
      </c>
      <c r="BP18" s="5">
        <v>0.21804511278195488</v>
      </c>
      <c r="BQ18" s="5">
        <v>13519.189116400004</v>
      </c>
      <c r="BR18" s="5">
        <v>17141.089032827593</v>
      </c>
      <c r="BS18" s="5">
        <v>63.501400418551107</v>
      </c>
      <c r="BT18" s="5">
        <v>59.133618229022559</v>
      </c>
      <c r="BU18" s="5">
        <v>3.1011488511488512</v>
      </c>
      <c r="BV18" s="5">
        <v>0.45283018867924529</v>
      </c>
      <c r="BW18" s="5">
        <v>1297.2361460526702</v>
      </c>
      <c r="BX18" s="5">
        <v>8686.0909913333289</v>
      </c>
    </row>
    <row r="19" spans="1:76" x14ac:dyDescent="0.25">
      <c r="A19" s="39" t="s">
        <v>10</v>
      </c>
      <c r="B19" s="32" t="s">
        <v>4</v>
      </c>
      <c r="C19" s="32">
        <v>66.099999999999994</v>
      </c>
      <c r="D19" s="32">
        <v>70</v>
      </c>
      <c r="E19" s="32">
        <f t="shared" si="29"/>
        <v>3.9000000000000057</v>
      </c>
      <c r="F19" s="32">
        <v>9.3000000000000007</v>
      </c>
      <c r="G19" s="32">
        <v>8.5</v>
      </c>
      <c r="H19" s="32">
        <f t="shared" si="30"/>
        <v>-0.80000000000000071</v>
      </c>
      <c r="I19" s="32">
        <v>2.5099999999999998</v>
      </c>
      <c r="J19" s="32">
        <v>2.94</v>
      </c>
      <c r="K19" s="32">
        <f t="shared" si="31"/>
        <v>0.43000000000000016</v>
      </c>
      <c r="L19" s="28">
        <f t="shared" si="8"/>
        <v>17.131474103585663</v>
      </c>
      <c r="M19" s="32">
        <v>178.6</v>
      </c>
      <c r="N19" s="32">
        <v>184.7</v>
      </c>
      <c r="O19" s="40">
        <f t="shared" si="32"/>
        <v>6.0999999999999943</v>
      </c>
      <c r="P19" s="30">
        <f t="shared" si="10"/>
        <v>3.415453527435607</v>
      </c>
      <c r="Q19" s="40">
        <v>77.599999999999994</v>
      </c>
      <c r="R19" s="32">
        <v>78.3</v>
      </c>
      <c r="S19" s="40">
        <f t="shared" si="33"/>
        <v>0.70000000000000284</v>
      </c>
      <c r="T19" s="32">
        <v>166.2</v>
      </c>
      <c r="U19" s="32">
        <v>174.4</v>
      </c>
      <c r="V19" s="40">
        <f t="shared" si="34"/>
        <v>8.2000000000000171</v>
      </c>
      <c r="W19" s="32">
        <v>32.9</v>
      </c>
      <c r="X19" s="32">
        <v>29.5</v>
      </c>
      <c r="Y19" s="40">
        <f t="shared" si="35"/>
        <v>-3.3999999999999986</v>
      </c>
      <c r="Z19" s="32">
        <v>12.4</v>
      </c>
      <c r="AA19" s="32">
        <v>10.3</v>
      </c>
      <c r="AB19" s="40">
        <f t="shared" si="36"/>
        <v>-2.0999999999999996</v>
      </c>
      <c r="AC19" s="40">
        <v>28</v>
      </c>
      <c r="AD19" s="40">
        <v>24.3</v>
      </c>
      <c r="AE19" s="40">
        <f t="shared" si="20"/>
        <v>-3.6999999999999993</v>
      </c>
      <c r="AF19" s="5">
        <v>283.12159709618874</v>
      </c>
      <c r="AG19" s="5">
        <v>365.24500907441012</v>
      </c>
      <c r="AH19" s="5">
        <f t="shared" si="21"/>
        <v>82.123411978221384</v>
      </c>
      <c r="AI19" s="5">
        <v>90.744101633393825</v>
      </c>
      <c r="AJ19" s="5">
        <v>112.06896551724137</v>
      </c>
      <c r="AK19" s="5">
        <f t="shared" si="22"/>
        <v>21.324863883847542</v>
      </c>
      <c r="AL19" s="5">
        <v>141.56079854809437</v>
      </c>
      <c r="AM19" s="5">
        <v>180.12704174228674</v>
      </c>
      <c r="AN19" s="5">
        <f t="shared" si="23"/>
        <v>38.566243194192367</v>
      </c>
      <c r="AO19" s="5">
        <v>330880.21999999997</v>
      </c>
      <c r="AP19" s="5">
        <v>2667.4675000000002</v>
      </c>
      <c r="AQ19" s="5">
        <v>3172.9875000000002</v>
      </c>
      <c r="AR19" s="5">
        <v>146.97749999999999</v>
      </c>
      <c r="AS19" s="5">
        <v>216.155</v>
      </c>
      <c r="AT19" s="5">
        <v>352.42</v>
      </c>
      <c r="AU19" s="5">
        <v>386.52249999999998</v>
      </c>
      <c r="AV19" s="5">
        <v>791.37249999999995</v>
      </c>
      <c r="AW19" s="5">
        <v>91.527500000000003</v>
      </c>
      <c r="AX19" s="5">
        <v>43.352499999999999</v>
      </c>
      <c r="AY19" s="5">
        <v>20.105</v>
      </c>
      <c r="AZ19" s="5">
        <v>7421.6612995918349</v>
      </c>
      <c r="BA19" s="5">
        <v>6076.3730821052623</v>
      </c>
      <c r="BB19" s="5">
        <f t="shared" si="24"/>
        <v>-1345.2882174865726</v>
      </c>
      <c r="BC19" s="5">
        <v>49</v>
      </c>
      <c r="BD19" s="5">
        <v>57</v>
      </c>
      <c r="BE19" s="5">
        <v>6120.8621328372083</v>
      </c>
      <c r="BF19" s="5">
        <v>4616.4197199157888</v>
      </c>
      <c r="BG19" s="5">
        <f t="shared" si="25"/>
        <v>-1504.4424129214194</v>
      </c>
      <c r="BH19" s="5">
        <v>43</v>
      </c>
      <c r="BI19" s="5">
        <v>95</v>
      </c>
      <c r="BJ19" s="5">
        <f t="shared" si="26"/>
        <v>6813.6790803478243</v>
      </c>
      <c r="BK19" s="5">
        <f t="shared" si="27"/>
        <v>5163.9022307368405</v>
      </c>
      <c r="BL19" s="5">
        <f t="shared" si="28"/>
        <v>-1649.7768496109838</v>
      </c>
      <c r="BM19" s="5">
        <v>71.498179569432665</v>
      </c>
      <c r="BN19" s="5">
        <v>75.514962591442028</v>
      </c>
      <c r="BO19" s="5">
        <v>1.0816326530612246</v>
      </c>
      <c r="BP19" s="5">
        <v>0.50877192982456143</v>
      </c>
      <c r="BQ19" s="5">
        <v>6861.5359184905637</v>
      </c>
      <c r="BR19" s="5">
        <v>11943.216057931031</v>
      </c>
      <c r="BS19" s="5">
        <v>66.17096000727679</v>
      </c>
      <c r="BT19" s="5">
        <v>65.647344456648867</v>
      </c>
      <c r="BU19" s="5">
        <v>0.65116279069767447</v>
      </c>
      <c r="BV19" s="5">
        <v>0.52631578947368418</v>
      </c>
      <c r="BW19" s="5">
        <v>9399.8954182857124</v>
      </c>
      <c r="BX19" s="5">
        <v>8771.1974678400002</v>
      </c>
    </row>
    <row r="20" spans="1:76" x14ac:dyDescent="0.25">
      <c r="A20" s="39" t="s">
        <v>33</v>
      </c>
      <c r="B20" s="32" t="s">
        <v>4</v>
      </c>
      <c r="C20" s="32">
        <v>53.9</v>
      </c>
      <c r="D20" s="32">
        <v>55.6</v>
      </c>
      <c r="E20" s="32">
        <f t="shared" si="29"/>
        <v>1.7000000000000028</v>
      </c>
      <c r="F20" s="32">
        <v>17.7</v>
      </c>
      <c r="G20" s="32">
        <v>17.3</v>
      </c>
      <c r="H20" s="32">
        <f t="shared" si="30"/>
        <v>-0.39999999999999858</v>
      </c>
      <c r="I20" s="32">
        <v>1.82</v>
      </c>
      <c r="J20" s="32">
        <v>2.62</v>
      </c>
      <c r="K20" s="32">
        <f t="shared" si="31"/>
        <v>0.8</v>
      </c>
      <c r="L20" s="28">
        <f t="shared" si="8"/>
        <v>43.956043956043956</v>
      </c>
      <c r="M20" s="32">
        <v>144.69999999999999</v>
      </c>
      <c r="N20" s="32">
        <v>156.69999999999999</v>
      </c>
      <c r="O20" s="40">
        <f t="shared" si="32"/>
        <v>12</v>
      </c>
      <c r="P20" s="30">
        <f t="shared" si="10"/>
        <v>8.2930200414651001</v>
      </c>
      <c r="Q20" s="40">
        <v>78.2</v>
      </c>
      <c r="R20" s="32">
        <v>80.2</v>
      </c>
      <c r="S20" s="40">
        <f t="shared" si="33"/>
        <v>2</v>
      </c>
      <c r="T20" s="32">
        <v>137.30000000000001</v>
      </c>
      <c r="U20" s="32">
        <v>150.69999999999999</v>
      </c>
      <c r="V20" s="40">
        <f t="shared" si="34"/>
        <v>13.399999999999977</v>
      </c>
      <c r="W20" s="32">
        <v>46.4</v>
      </c>
      <c r="X20" s="32">
        <v>49.4</v>
      </c>
      <c r="Y20" s="40">
        <f t="shared" si="35"/>
        <v>3</v>
      </c>
      <c r="Z20" s="32">
        <v>7.3</v>
      </c>
      <c r="AA20" s="32">
        <v>6</v>
      </c>
      <c r="AB20" s="40">
        <f t="shared" si="36"/>
        <v>-1.2999999999999998</v>
      </c>
      <c r="AC20" s="40">
        <v>42.2</v>
      </c>
      <c r="AD20" s="40">
        <v>44.9</v>
      </c>
      <c r="AE20" s="40">
        <f t="shared" si="20"/>
        <v>2.6999999999999957</v>
      </c>
      <c r="AF20" s="5">
        <v>146.55172413793102</v>
      </c>
      <c r="AG20" s="5">
        <v>275.86206896551721</v>
      </c>
      <c r="AH20" s="5">
        <f t="shared" si="21"/>
        <v>129.31034482758619</v>
      </c>
      <c r="AI20" s="5">
        <v>71.687840290381118</v>
      </c>
      <c r="AJ20" s="5">
        <v>83.93829401088928</v>
      </c>
      <c r="AK20" s="5">
        <f t="shared" si="22"/>
        <v>12.250453720508162</v>
      </c>
      <c r="AL20" s="5">
        <v>99.818511796733205</v>
      </c>
      <c r="AM20" s="5">
        <v>127.04174228675134</v>
      </c>
      <c r="AN20" s="5">
        <f t="shared" si="23"/>
        <v>27.223230490018139</v>
      </c>
      <c r="AO20" s="5">
        <v>231479.16</v>
      </c>
      <c r="AP20" s="5">
        <v>2916.8049999999998</v>
      </c>
      <c r="AQ20" s="5">
        <v>2183.33</v>
      </c>
      <c r="AR20" s="5">
        <v>124.8325</v>
      </c>
      <c r="AS20" s="5">
        <v>114.295</v>
      </c>
      <c r="AT20" s="5">
        <v>327.005</v>
      </c>
      <c r="AU20" s="5">
        <v>235.3775</v>
      </c>
      <c r="AV20" s="5">
        <v>1227.5025000000001</v>
      </c>
      <c r="AW20" s="5">
        <v>85.837500000000006</v>
      </c>
      <c r="AX20" s="5">
        <v>18.7925</v>
      </c>
      <c r="AY20" s="5">
        <v>13.375</v>
      </c>
      <c r="AZ20" s="5">
        <v>5586.4443180799981</v>
      </c>
      <c r="BA20" s="5">
        <v>6884.1318383999997</v>
      </c>
      <c r="BB20" s="5">
        <f t="shared" si="24"/>
        <v>1297.6875203200016</v>
      </c>
      <c r="BC20" s="5">
        <v>75</v>
      </c>
      <c r="BD20" s="5">
        <v>70</v>
      </c>
      <c r="BE20" s="5">
        <v>5040.4170225454545</v>
      </c>
      <c r="BF20" s="5">
        <v>5464.6645217391297</v>
      </c>
      <c r="BG20" s="5">
        <f t="shared" si="25"/>
        <v>424.24749919367514</v>
      </c>
      <c r="BH20" s="5">
        <v>66</v>
      </c>
      <c r="BI20" s="5">
        <v>46</v>
      </c>
      <c r="BJ20" s="5">
        <f t="shared" si="26"/>
        <v>5330.8570733617016</v>
      </c>
      <c r="BK20" s="5">
        <f t="shared" si="27"/>
        <v>6321.2396266206897</v>
      </c>
      <c r="BL20" s="5">
        <f t="shared" si="28"/>
        <v>990.38255325898808</v>
      </c>
      <c r="BM20" s="5">
        <v>72.427674509166366</v>
      </c>
      <c r="BN20" s="5">
        <v>79.180144742909832</v>
      </c>
      <c r="BO20" s="5">
        <v>1.2533333333333334</v>
      </c>
      <c r="BP20" s="5">
        <v>0.48571428571428571</v>
      </c>
      <c r="BQ20" s="5">
        <v>4457.2694027234029</v>
      </c>
      <c r="BR20" s="5">
        <v>14173.212608470587</v>
      </c>
      <c r="BS20" s="5">
        <v>70.98363898443472</v>
      </c>
      <c r="BT20" s="5">
        <v>71.560676614408862</v>
      </c>
      <c r="BU20" s="5">
        <v>0.93939393939393945</v>
      </c>
      <c r="BV20" s="5">
        <v>0.36956521739130432</v>
      </c>
      <c r="BW20" s="5">
        <v>5365.6052175483865</v>
      </c>
      <c r="BX20" s="5">
        <v>14786.739294117646</v>
      </c>
    </row>
    <row r="21" spans="1:76" x14ac:dyDescent="0.25">
      <c r="A21" s="39" t="s">
        <v>12</v>
      </c>
      <c r="B21" s="32" t="s">
        <v>4</v>
      </c>
      <c r="C21" s="32">
        <v>44.3</v>
      </c>
      <c r="D21" s="32">
        <v>44.6</v>
      </c>
      <c r="E21" s="32">
        <f t="shared" si="29"/>
        <v>0.30000000000000426</v>
      </c>
      <c r="F21" s="32">
        <v>12.6</v>
      </c>
      <c r="G21" s="32">
        <v>11.2</v>
      </c>
      <c r="H21" s="32">
        <f t="shared" si="30"/>
        <v>-1.4000000000000004</v>
      </c>
      <c r="I21" s="32">
        <v>1.46</v>
      </c>
      <c r="J21" s="32">
        <v>2.09</v>
      </c>
      <c r="K21" s="32">
        <f t="shared" si="31"/>
        <v>0.62999999999999989</v>
      </c>
      <c r="L21" s="28">
        <f t="shared" si="8"/>
        <v>43.150684931506845</v>
      </c>
      <c r="M21" s="32">
        <v>111</v>
      </c>
      <c r="N21" s="32">
        <v>118.6</v>
      </c>
      <c r="O21" s="40">
        <f t="shared" si="32"/>
        <v>7.5999999999999943</v>
      </c>
      <c r="P21" s="30">
        <f t="shared" si="10"/>
        <v>6.8468468468468417</v>
      </c>
      <c r="Q21" s="40">
        <v>77.8</v>
      </c>
      <c r="R21" s="32">
        <v>78.900000000000006</v>
      </c>
      <c r="S21" s="40">
        <f t="shared" si="33"/>
        <v>1.1000000000000085</v>
      </c>
      <c r="T21" s="32">
        <v>108.4</v>
      </c>
      <c r="U21" s="32">
        <v>113.6</v>
      </c>
      <c r="V21" s="40">
        <f t="shared" si="34"/>
        <v>5.1999999999999886</v>
      </c>
      <c r="W21" s="32">
        <v>39.700000000000003</v>
      </c>
      <c r="X21" s="32">
        <v>36</v>
      </c>
      <c r="Y21" s="40">
        <f t="shared" si="35"/>
        <v>-3.7000000000000028</v>
      </c>
      <c r="Z21" s="32">
        <v>2.7</v>
      </c>
      <c r="AA21" s="32">
        <v>5</v>
      </c>
      <c r="AB21" s="40">
        <f t="shared" si="36"/>
        <v>2.2999999999999998</v>
      </c>
      <c r="AC21" s="40">
        <v>36.1</v>
      </c>
      <c r="AD21" s="40">
        <v>32.4</v>
      </c>
      <c r="AE21" s="40">
        <f t="shared" si="20"/>
        <v>-3.7000000000000028</v>
      </c>
      <c r="AF21" s="5">
        <v>68.511796733212336</v>
      </c>
      <c r="AG21" s="5">
        <v>146.55172413793102</v>
      </c>
      <c r="AH21" s="5">
        <f t="shared" si="21"/>
        <v>78.039927404718682</v>
      </c>
      <c r="AI21" s="5">
        <v>51.27041742286751</v>
      </c>
      <c r="AJ21" s="5">
        <v>58.529945553539015</v>
      </c>
      <c r="AK21" s="5">
        <f t="shared" si="22"/>
        <v>7.2595281306715052</v>
      </c>
      <c r="AL21" s="5">
        <v>65.78947368421052</v>
      </c>
      <c r="AM21" s="5">
        <v>99.818511796733205</v>
      </c>
      <c r="AN21" s="5">
        <f t="shared" si="23"/>
        <v>34.029038112522684</v>
      </c>
      <c r="AO21" s="5">
        <v>132908.35</v>
      </c>
      <c r="AP21" s="5">
        <v>2135.7125000000001</v>
      </c>
      <c r="AQ21" s="5">
        <v>1868.48</v>
      </c>
      <c r="AR21" s="5">
        <v>98.377499999999998</v>
      </c>
      <c r="AS21" s="5">
        <v>88.614999999999995</v>
      </c>
      <c r="AT21" s="5">
        <v>237.6525</v>
      </c>
      <c r="AU21" s="5">
        <v>252.16749999999999</v>
      </c>
      <c r="AV21" s="5">
        <v>809.51</v>
      </c>
      <c r="AW21" s="5">
        <v>55.62</v>
      </c>
      <c r="AX21" s="5">
        <v>23.96</v>
      </c>
      <c r="AY21" s="5">
        <v>12.6625</v>
      </c>
      <c r="AZ21" s="5">
        <v>6529.0099765925897</v>
      </c>
      <c r="BA21" s="5">
        <v>8108.6593695000029</v>
      </c>
      <c r="BB21" s="5">
        <f t="shared" si="24"/>
        <v>1579.6493929074131</v>
      </c>
      <c r="BC21" s="5">
        <v>54</v>
      </c>
      <c r="BD21" s="5">
        <v>64</v>
      </c>
      <c r="BE21" s="5">
        <v>7058.8835056842072</v>
      </c>
      <c r="BF21" s="5">
        <v>6059.915983599999</v>
      </c>
      <c r="BG21" s="5">
        <f t="shared" si="25"/>
        <v>-998.96752208420821</v>
      </c>
      <c r="BH21" s="5">
        <v>38</v>
      </c>
      <c r="BI21" s="5">
        <v>40</v>
      </c>
      <c r="BJ21" s="5">
        <f t="shared" si="26"/>
        <v>6747.8707820869531</v>
      </c>
      <c r="BK21" s="5">
        <f t="shared" si="27"/>
        <v>7320.6811441538466</v>
      </c>
      <c r="BL21" s="5">
        <f t="shared" si="28"/>
        <v>572.8103620668935</v>
      </c>
      <c r="BM21" s="5">
        <v>76.297532510010129</v>
      </c>
      <c r="BN21" s="5">
        <v>86.173964881696776</v>
      </c>
      <c r="BO21" s="5">
        <v>0.64814814814814814</v>
      </c>
      <c r="BP21" s="5">
        <v>0.578125</v>
      </c>
      <c r="BQ21" s="5">
        <v>10073.329678171423</v>
      </c>
      <c r="BR21" s="5">
        <v>14025.789179675681</v>
      </c>
      <c r="BS21" s="5">
        <v>77.903207129616604</v>
      </c>
      <c r="BT21" s="5">
        <v>71.751824229714785</v>
      </c>
      <c r="BU21" s="5">
        <v>0.73684210526315785</v>
      </c>
      <c r="BV21" s="5">
        <v>0.32500000000000001</v>
      </c>
      <c r="BW21" s="5">
        <v>9579.9133291428534</v>
      </c>
      <c r="BX21" s="5">
        <v>18645.895334153844</v>
      </c>
    </row>
    <row r="22" spans="1:76" x14ac:dyDescent="0.25">
      <c r="A22" s="39" t="s">
        <v>34</v>
      </c>
      <c r="B22" s="32" t="s">
        <v>4</v>
      </c>
      <c r="C22" s="32">
        <v>69</v>
      </c>
      <c r="D22" s="32">
        <v>68.400000000000006</v>
      </c>
      <c r="E22" s="32">
        <f t="shared" si="29"/>
        <v>-0.59999999999999432</v>
      </c>
      <c r="F22" s="32">
        <v>27.7</v>
      </c>
      <c r="G22" s="32">
        <v>28.2</v>
      </c>
      <c r="H22" s="32">
        <f t="shared" si="30"/>
        <v>0.5</v>
      </c>
      <c r="I22" s="32">
        <v>1.87</v>
      </c>
      <c r="J22" s="32">
        <v>3.04</v>
      </c>
      <c r="K22" s="32">
        <f t="shared" si="31"/>
        <v>1.17</v>
      </c>
      <c r="L22" s="28">
        <f t="shared" si="8"/>
        <v>62.566844919786092</v>
      </c>
      <c r="M22" s="32">
        <v>184.4</v>
      </c>
      <c r="N22" s="32">
        <v>199.9</v>
      </c>
      <c r="O22" s="40">
        <f t="shared" si="32"/>
        <v>15.5</v>
      </c>
      <c r="P22" s="30">
        <f t="shared" si="10"/>
        <v>8.405639913232104</v>
      </c>
      <c r="Q22" s="40">
        <v>76.400000000000006</v>
      </c>
      <c r="R22" s="32">
        <v>78.3</v>
      </c>
      <c r="S22" s="40">
        <f t="shared" si="33"/>
        <v>1.8999999999999915</v>
      </c>
      <c r="T22" s="32">
        <v>167.5</v>
      </c>
      <c r="U22" s="32">
        <v>182.6</v>
      </c>
      <c r="V22" s="40">
        <f t="shared" si="34"/>
        <v>15.099999999999994</v>
      </c>
      <c r="W22" s="32">
        <v>63.8</v>
      </c>
      <c r="X22" s="32">
        <v>66</v>
      </c>
      <c r="Y22" s="40">
        <f t="shared" si="35"/>
        <v>2.2000000000000028</v>
      </c>
      <c r="Z22" s="32">
        <v>16.8</v>
      </c>
      <c r="AA22" s="32">
        <v>17.3</v>
      </c>
      <c r="AB22" s="40">
        <f t="shared" si="36"/>
        <v>0.5</v>
      </c>
      <c r="AC22" s="40">
        <v>58.2</v>
      </c>
      <c r="AD22" s="40">
        <v>60.1</v>
      </c>
      <c r="AE22" s="40">
        <f t="shared" si="20"/>
        <v>1.8999999999999986</v>
      </c>
      <c r="AF22" s="5">
        <v>205.53539019963699</v>
      </c>
      <c r="AG22" s="5">
        <v>299.90925589836661</v>
      </c>
      <c r="AH22" s="5">
        <f t="shared" si="21"/>
        <v>94.373865698729617</v>
      </c>
      <c r="AI22" s="5">
        <v>109.80036297640652</v>
      </c>
      <c r="AJ22" s="5">
        <v>124.31941923774954</v>
      </c>
      <c r="AK22" s="5">
        <f t="shared" si="22"/>
        <v>14.519056261343025</v>
      </c>
      <c r="AL22" s="5">
        <v>153.81125226860252</v>
      </c>
      <c r="AM22" s="5">
        <v>187.84029038112521</v>
      </c>
      <c r="AN22" s="5">
        <f t="shared" si="23"/>
        <v>34.029038112522699</v>
      </c>
      <c r="AO22" s="5">
        <v>317776.76</v>
      </c>
      <c r="AP22" s="5">
        <v>1038.45</v>
      </c>
      <c r="AQ22" s="5">
        <v>2112.85</v>
      </c>
      <c r="AR22" s="5">
        <v>53.97</v>
      </c>
      <c r="AS22" s="5">
        <v>126.69499999999999</v>
      </c>
      <c r="AT22" s="5">
        <v>126.0175</v>
      </c>
      <c r="AU22" s="5">
        <v>161.4375</v>
      </c>
      <c r="AV22" s="5">
        <v>328.755</v>
      </c>
      <c r="AW22" s="5">
        <v>86.754999999999995</v>
      </c>
      <c r="AX22" s="5">
        <v>12.5825</v>
      </c>
      <c r="AY22" s="5">
        <v>10.692500000000001</v>
      </c>
      <c r="AZ22" s="5">
        <v>7790.9807846274489</v>
      </c>
      <c r="BA22" s="5">
        <v>8081.9110662068942</v>
      </c>
      <c r="BB22" s="5">
        <f t="shared" si="24"/>
        <v>290.93028157944536</v>
      </c>
      <c r="BC22" s="5">
        <v>51</v>
      </c>
      <c r="BD22" s="5">
        <v>58</v>
      </c>
      <c r="BE22" s="5">
        <v>5647.6201942068956</v>
      </c>
      <c r="BF22" s="5">
        <v>5274.8457126956509</v>
      </c>
      <c r="BG22" s="5">
        <f t="shared" si="25"/>
        <v>-372.77448151124463</v>
      </c>
      <c r="BH22" s="5">
        <v>29</v>
      </c>
      <c r="BI22" s="5">
        <v>46</v>
      </c>
      <c r="BJ22" s="5">
        <f t="shared" si="26"/>
        <v>7014.012570599999</v>
      </c>
      <c r="BK22" s="5">
        <f t="shared" si="27"/>
        <v>6840.3244675384594</v>
      </c>
      <c r="BL22" s="5">
        <f t="shared" si="28"/>
        <v>-173.68810306153955</v>
      </c>
      <c r="BM22" s="5">
        <v>79.165238695358369</v>
      </c>
      <c r="BN22" s="5">
        <v>85.813905472153522</v>
      </c>
      <c r="BO22" s="5">
        <v>0.94117647058823528</v>
      </c>
      <c r="BP22" s="5">
        <v>1.1896551724137931</v>
      </c>
      <c r="BQ22" s="5">
        <v>8277.9170836666653</v>
      </c>
      <c r="BR22" s="5">
        <v>6793.4904614492734</v>
      </c>
      <c r="BS22" s="5">
        <v>67.938092243433147</v>
      </c>
      <c r="BT22" s="5">
        <v>69.565700882068498</v>
      </c>
      <c r="BU22" s="5">
        <v>0.75862068965517238</v>
      </c>
      <c r="BV22" s="5">
        <v>0.39130434782608697</v>
      </c>
      <c r="BW22" s="5">
        <v>7444.5902559999995</v>
      </c>
      <c r="BX22" s="5">
        <v>13480.161265777773</v>
      </c>
    </row>
    <row r="23" spans="1:76" x14ac:dyDescent="0.25">
      <c r="A23" s="39" t="s">
        <v>14</v>
      </c>
      <c r="B23" s="32" t="s">
        <v>4</v>
      </c>
      <c r="C23" s="32">
        <v>46.4</v>
      </c>
      <c r="D23" s="32">
        <v>44.6</v>
      </c>
      <c r="E23" s="32">
        <f t="shared" si="29"/>
        <v>-1.7999999999999972</v>
      </c>
      <c r="F23" s="32">
        <v>25.3</v>
      </c>
      <c r="G23" s="32">
        <v>22.7</v>
      </c>
      <c r="H23" s="32">
        <f t="shared" si="30"/>
        <v>-2.6000000000000014</v>
      </c>
      <c r="I23" s="32">
        <v>1.82</v>
      </c>
      <c r="J23" s="32">
        <v>2.06</v>
      </c>
      <c r="K23" s="32">
        <f t="shared" si="31"/>
        <v>0.24</v>
      </c>
      <c r="L23" s="28">
        <f t="shared" si="8"/>
        <v>13.186813186813188</v>
      </c>
      <c r="M23" s="32">
        <v>114.8</v>
      </c>
      <c r="N23" s="32">
        <v>123</v>
      </c>
      <c r="O23" s="40">
        <f t="shared" si="32"/>
        <v>8.2000000000000028</v>
      </c>
      <c r="P23" s="30">
        <f t="shared" si="10"/>
        <v>7.142857142857145</v>
      </c>
      <c r="Q23" s="40">
        <v>75.2</v>
      </c>
      <c r="R23" s="32">
        <v>79.3</v>
      </c>
      <c r="S23" s="40">
        <f t="shared" si="33"/>
        <v>4.0999999999999943</v>
      </c>
      <c r="T23" s="32">
        <v>109.3</v>
      </c>
      <c r="U23" s="32">
        <v>117.9</v>
      </c>
      <c r="V23" s="40">
        <f t="shared" si="34"/>
        <v>8.6000000000000085</v>
      </c>
      <c r="W23" s="32">
        <v>70</v>
      </c>
      <c r="X23" s="32">
        <v>66.400000000000006</v>
      </c>
      <c r="Y23" s="40">
        <f t="shared" si="35"/>
        <v>-3.5999999999999943</v>
      </c>
      <c r="Z23" s="32">
        <v>5.6</v>
      </c>
      <c r="AA23" s="32">
        <v>5.0999999999999996</v>
      </c>
      <c r="AB23" s="40">
        <f t="shared" si="36"/>
        <v>-0.5</v>
      </c>
      <c r="AC23" s="40">
        <v>65.900000000000006</v>
      </c>
      <c r="AD23" s="40">
        <v>62</v>
      </c>
      <c r="AE23" s="40">
        <f t="shared" si="20"/>
        <v>-3.9000000000000057</v>
      </c>
      <c r="AF23" s="5">
        <v>112.06896551724137</v>
      </c>
      <c r="AG23" s="5">
        <v>146.55172413793102</v>
      </c>
      <c r="AH23" s="5">
        <f t="shared" si="21"/>
        <v>34.482758620689651</v>
      </c>
      <c r="AI23" s="5">
        <v>46.279491833030846</v>
      </c>
      <c r="AJ23" s="5">
        <v>54.446460980036292</v>
      </c>
      <c r="AK23" s="5">
        <f t="shared" si="22"/>
        <v>8.166969147005446</v>
      </c>
      <c r="AL23" s="5">
        <v>73.956442831215966</v>
      </c>
      <c r="AM23" s="5">
        <v>92.558983666061692</v>
      </c>
      <c r="AN23" s="5">
        <f t="shared" si="23"/>
        <v>18.602540834845726</v>
      </c>
      <c r="AO23" s="5">
        <v>156864.79999999999</v>
      </c>
      <c r="AP23" s="5">
        <v>2324.2249999999999</v>
      </c>
      <c r="AQ23" s="5">
        <v>1716.655</v>
      </c>
      <c r="AR23" s="5">
        <v>85.547499999999999</v>
      </c>
      <c r="AS23" s="5">
        <v>75.59</v>
      </c>
      <c r="AT23" s="5">
        <v>286.33999999999997</v>
      </c>
      <c r="AU23" s="5">
        <v>251.02500000000001</v>
      </c>
      <c r="AV23" s="5">
        <v>520.27</v>
      </c>
      <c r="AW23" s="5">
        <v>43.8</v>
      </c>
      <c r="AX23" s="5">
        <v>14.057499999999999</v>
      </c>
      <c r="AY23" s="5">
        <v>20.467500000000001</v>
      </c>
      <c r="AZ23" s="5">
        <v>3516.1035724137923</v>
      </c>
      <c r="BA23" s="5">
        <v>4785.6687361311469</v>
      </c>
      <c r="BB23" s="5">
        <f t="shared" si="24"/>
        <v>1269.5651637173546</v>
      </c>
      <c r="BC23" s="5">
        <v>174</v>
      </c>
      <c r="BD23" s="5">
        <v>122</v>
      </c>
      <c r="BE23" s="5">
        <v>2644.2915659130426</v>
      </c>
      <c r="BF23" s="5">
        <v>3457.5799996444439</v>
      </c>
      <c r="BG23" s="5">
        <f t="shared" si="25"/>
        <v>813.28843373140126</v>
      </c>
      <c r="BH23" s="5">
        <v>69</v>
      </c>
      <c r="BI23" s="5">
        <v>45</v>
      </c>
      <c r="BJ23" s="5">
        <f t="shared" si="26"/>
        <v>3268.5520150123448</v>
      </c>
      <c r="BK23" s="5">
        <f t="shared" si="27"/>
        <v>4427.80051372455</v>
      </c>
      <c r="BL23" s="5">
        <f t="shared" si="28"/>
        <v>1159.2484987122052</v>
      </c>
      <c r="BM23" s="5">
        <v>57.727032605687832</v>
      </c>
      <c r="BN23" s="5">
        <v>66.755199022375066</v>
      </c>
      <c r="BO23" s="5">
        <v>0.41379310344827586</v>
      </c>
      <c r="BP23" s="5">
        <v>0.48360655737704916</v>
      </c>
      <c r="BQ23" s="5">
        <v>8497.2502999999979</v>
      </c>
      <c r="BR23" s="5">
        <v>9895.7895899661016</v>
      </c>
      <c r="BS23" s="5">
        <v>50.690759616646837</v>
      </c>
      <c r="BT23" s="5">
        <v>57.585690341331301</v>
      </c>
      <c r="BU23" s="5">
        <v>0.21739130434782608</v>
      </c>
      <c r="BV23" s="5">
        <v>0.24444444444444444</v>
      </c>
      <c r="BW23" s="5">
        <v>12163.741203199996</v>
      </c>
      <c r="BX23" s="5">
        <v>14144.645453090907</v>
      </c>
    </row>
    <row r="24" spans="1:76" x14ac:dyDescent="0.25">
      <c r="A24" s="39" t="s">
        <v>22</v>
      </c>
      <c r="B24" s="32" t="s">
        <v>4</v>
      </c>
      <c r="C24" s="32">
        <v>57</v>
      </c>
      <c r="D24" s="32">
        <v>61.7</v>
      </c>
      <c r="E24" s="32">
        <f t="shared" si="29"/>
        <v>4.7000000000000028</v>
      </c>
      <c r="F24" s="32">
        <v>25</v>
      </c>
      <c r="G24" s="32">
        <v>25.4</v>
      </c>
      <c r="H24" s="32">
        <f t="shared" si="30"/>
        <v>0.39999999999999858</v>
      </c>
      <c r="I24" s="32">
        <v>1.57</v>
      </c>
      <c r="J24" s="32">
        <v>2.39</v>
      </c>
      <c r="K24" s="32">
        <f t="shared" si="31"/>
        <v>0.82000000000000006</v>
      </c>
      <c r="L24" s="28">
        <f t="shared" si="8"/>
        <v>52.229299363057322</v>
      </c>
      <c r="M24" s="32">
        <v>141.80000000000001</v>
      </c>
      <c r="N24" s="32">
        <v>170.5</v>
      </c>
      <c r="O24" s="40">
        <f t="shared" si="32"/>
        <v>28.699999999999989</v>
      </c>
      <c r="P24" s="30">
        <f t="shared" si="10"/>
        <v>20.239774330042305</v>
      </c>
      <c r="Q24" s="40">
        <v>75.900000000000006</v>
      </c>
      <c r="R24" s="32">
        <v>78.7</v>
      </c>
      <c r="S24" s="40">
        <f t="shared" si="33"/>
        <v>2.7999999999999972</v>
      </c>
      <c r="T24" s="32">
        <v>131.1</v>
      </c>
      <c r="U24" s="32">
        <v>156.69999999999999</v>
      </c>
      <c r="V24" s="40">
        <f t="shared" si="34"/>
        <v>25.599999999999994</v>
      </c>
      <c r="W24" s="32">
        <v>62.6</v>
      </c>
      <c r="X24" s="32">
        <v>67.099999999999994</v>
      </c>
      <c r="Y24" s="40">
        <f t="shared" si="35"/>
        <v>4.4999999999999929</v>
      </c>
      <c r="Z24" s="32">
        <v>10.7</v>
      </c>
      <c r="AA24" s="32">
        <v>13.9</v>
      </c>
      <c r="AB24" s="40">
        <f t="shared" si="36"/>
        <v>3.2000000000000011</v>
      </c>
      <c r="AC24" s="40">
        <v>57.9</v>
      </c>
      <c r="AD24" s="40">
        <v>61.3</v>
      </c>
      <c r="AE24" s="40">
        <f t="shared" si="20"/>
        <v>3.3999999999999986</v>
      </c>
      <c r="AF24" s="5">
        <v>244.10163339382939</v>
      </c>
      <c r="AG24" s="5">
        <v>343.92014519056261</v>
      </c>
      <c r="AH24" s="5">
        <f t="shared" si="21"/>
        <v>99.818511796733219</v>
      </c>
      <c r="AI24" s="5">
        <v>77.132486388384748</v>
      </c>
      <c r="AJ24" s="5">
        <v>104.3557168784029</v>
      </c>
      <c r="AK24" s="5">
        <f t="shared" si="22"/>
        <v>27.223230490018153</v>
      </c>
      <c r="AL24" s="5">
        <v>139.29219600725952</v>
      </c>
      <c r="AM24" s="5">
        <v>179.2196007259528</v>
      </c>
      <c r="AN24" s="5">
        <f t="shared" si="23"/>
        <v>39.927404718693282</v>
      </c>
      <c r="AO24" s="5">
        <v>280124.76</v>
      </c>
      <c r="AP24" s="5">
        <v>1464.9</v>
      </c>
      <c r="AQ24" s="5">
        <v>2037.6025</v>
      </c>
      <c r="AR24" s="5">
        <v>78.583333330000002</v>
      </c>
      <c r="AS24" s="5">
        <v>80.517499999999998</v>
      </c>
      <c r="AT24" s="5">
        <v>92.826666669999994</v>
      </c>
      <c r="AU24" s="5">
        <v>195.42750000000001</v>
      </c>
      <c r="AV24" s="5">
        <v>772.09333330000004</v>
      </c>
      <c r="AW24" s="5">
        <v>104.72750000000001</v>
      </c>
      <c r="AX24" s="5">
        <v>4.5533333330000003</v>
      </c>
      <c r="AY24" s="5">
        <v>7.2675000000000001</v>
      </c>
      <c r="AZ24" s="5">
        <v>4839.9505767619057</v>
      </c>
      <c r="BA24" s="5">
        <v>5416.7234153846148</v>
      </c>
      <c r="BB24" s="5">
        <f t="shared" si="24"/>
        <v>576.77283862270906</v>
      </c>
      <c r="BC24" s="5">
        <v>105</v>
      </c>
      <c r="BD24" s="5">
        <v>78</v>
      </c>
      <c r="BE24" s="5">
        <v>3881.8838449230761</v>
      </c>
      <c r="BF24" s="5">
        <v>3720.7756034594595</v>
      </c>
      <c r="BG24" s="5">
        <f t="shared" si="25"/>
        <v>-161.10824146361665</v>
      </c>
      <c r="BH24" s="5">
        <v>52</v>
      </c>
      <c r="BI24" s="5">
        <v>37</v>
      </c>
      <c r="BJ24" s="5">
        <f t="shared" si="26"/>
        <v>4522.6291114394908</v>
      </c>
      <c r="BK24" s="5">
        <f t="shared" si="27"/>
        <v>4871.0706411130432</v>
      </c>
      <c r="BL24" s="5">
        <f t="shared" si="28"/>
        <v>348.4415296735524</v>
      </c>
      <c r="BM24" s="5">
        <v>66.978579414345475</v>
      </c>
      <c r="BN24" s="5">
        <v>71.756203164621084</v>
      </c>
      <c r="BO24" s="5">
        <v>0.69523809523809521</v>
      </c>
      <c r="BP24" s="5">
        <v>0.91025641025641024</v>
      </c>
      <c r="BQ24" s="5">
        <v>6961.572747397262</v>
      </c>
      <c r="BR24" s="5">
        <v>5950.7665690140839</v>
      </c>
      <c r="BS24" s="5">
        <v>59.996864983706992</v>
      </c>
      <c r="BT24" s="5">
        <v>58.952116132608452</v>
      </c>
      <c r="BU24" s="5">
        <v>0.36538461538461536</v>
      </c>
      <c r="BV24" s="5">
        <v>0.81081081081081086</v>
      </c>
      <c r="BW24" s="5">
        <v>10624.103154526314</v>
      </c>
      <c r="BX24" s="5">
        <v>4588.9565775999999</v>
      </c>
    </row>
    <row r="25" spans="1:76" x14ac:dyDescent="0.25">
      <c r="A25" s="39" t="s">
        <v>23</v>
      </c>
      <c r="B25" s="32" t="s">
        <v>4</v>
      </c>
      <c r="C25" s="32">
        <v>61.4</v>
      </c>
      <c r="D25" s="32">
        <v>60.7</v>
      </c>
      <c r="E25" s="32">
        <f t="shared" si="29"/>
        <v>-0.69999999999999574</v>
      </c>
      <c r="F25" s="32">
        <v>40.6</v>
      </c>
      <c r="G25" s="32">
        <v>42</v>
      </c>
      <c r="H25" s="32">
        <f t="shared" si="30"/>
        <v>1.3999999999999986</v>
      </c>
      <c r="I25" s="32">
        <v>1.22</v>
      </c>
      <c r="J25" s="32">
        <v>1.03</v>
      </c>
      <c r="K25" s="32">
        <f t="shared" si="31"/>
        <v>-0.18999999999999995</v>
      </c>
      <c r="L25" s="28">
        <f t="shared" si="8"/>
        <v>-15.573770491803273</v>
      </c>
      <c r="M25" s="32">
        <v>144.30000000000001</v>
      </c>
      <c r="N25" s="32">
        <v>161.19999999999999</v>
      </c>
      <c r="O25" s="40">
        <f t="shared" si="32"/>
        <v>16.899999999999977</v>
      </c>
      <c r="P25" s="30">
        <f t="shared" si="10"/>
        <v>11.711711711711695</v>
      </c>
      <c r="Q25" s="32">
        <v>77</v>
      </c>
      <c r="R25" s="32">
        <v>77.400000000000006</v>
      </c>
      <c r="S25" s="40">
        <f t="shared" si="33"/>
        <v>0.40000000000000568</v>
      </c>
      <c r="T25" s="32">
        <v>128.19999999999999</v>
      </c>
      <c r="U25" s="32">
        <v>142.6</v>
      </c>
      <c r="V25" s="40">
        <f t="shared" si="34"/>
        <v>14.400000000000006</v>
      </c>
      <c r="W25" s="32">
        <v>136.4</v>
      </c>
      <c r="X25" s="32">
        <v>141.69999999999999</v>
      </c>
      <c r="Y25" s="40">
        <f t="shared" si="35"/>
        <v>5.2999999999999829</v>
      </c>
      <c r="Z25" s="32">
        <v>16.100000000000001</v>
      </c>
      <c r="AA25" s="32">
        <v>18.600000000000001</v>
      </c>
      <c r="AB25" s="40">
        <f t="shared" si="36"/>
        <v>2.5</v>
      </c>
      <c r="AC25" s="40">
        <v>130.6</v>
      </c>
      <c r="AD25" s="40">
        <v>135.5</v>
      </c>
      <c r="AE25" s="40">
        <f t="shared" si="20"/>
        <v>4.9000000000000057</v>
      </c>
      <c r="AF25" s="5">
        <v>175.58983666061704</v>
      </c>
      <c r="AG25" s="5">
        <v>314.88203266787656</v>
      </c>
      <c r="AH25" s="5">
        <f t="shared" si="21"/>
        <v>139.29219600725952</v>
      </c>
      <c r="AI25" s="5">
        <v>46.279491833030846</v>
      </c>
      <c r="AJ25" s="5">
        <v>61.25226860254083</v>
      </c>
      <c r="AK25" s="5">
        <f t="shared" si="22"/>
        <v>14.972776769509984</v>
      </c>
      <c r="AL25" s="5">
        <v>95.281306715063508</v>
      </c>
      <c r="AM25" s="5">
        <v>129.31034482758619</v>
      </c>
      <c r="AN25" s="5">
        <f t="shared" si="23"/>
        <v>34.029038112522684</v>
      </c>
      <c r="AO25" s="5">
        <v>217636.11</v>
      </c>
      <c r="AP25" s="5">
        <v>2048.585</v>
      </c>
      <c r="AQ25" s="5">
        <v>2578.7125000000001</v>
      </c>
      <c r="AR25" s="5">
        <v>250.79</v>
      </c>
      <c r="AS25" s="5">
        <v>89.444999999999993</v>
      </c>
      <c r="AT25" s="5">
        <v>250.79</v>
      </c>
      <c r="AU25" s="5">
        <v>346.27499999999998</v>
      </c>
      <c r="AV25" s="5">
        <v>767.39</v>
      </c>
      <c r="AW25" s="5">
        <v>93.257499999999993</v>
      </c>
      <c r="AX25" s="5">
        <v>6.9924999999999997</v>
      </c>
      <c r="AY25" s="5">
        <v>18.6325</v>
      </c>
      <c r="AZ25" s="5">
        <v>5286.8313222857132</v>
      </c>
      <c r="BA25" s="5">
        <v>5872.5904091764687</v>
      </c>
      <c r="BB25" s="5">
        <f t="shared" si="24"/>
        <v>585.7590868907555</v>
      </c>
      <c r="BC25" s="5">
        <v>84</v>
      </c>
      <c r="BD25" s="5">
        <v>68</v>
      </c>
      <c r="BE25" s="5">
        <v>3895.7363824313729</v>
      </c>
      <c r="BF25" s="5">
        <v>5391.7965123636359</v>
      </c>
      <c r="BG25" s="5">
        <f t="shared" si="25"/>
        <v>1496.060129932263</v>
      </c>
      <c r="BH25" s="5">
        <v>51</v>
      </c>
      <c r="BI25" s="5">
        <v>44</v>
      </c>
      <c r="BJ25" s="5">
        <f t="shared" si="26"/>
        <v>4761.3065672296289</v>
      </c>
      <c r="BK25" s="5">
        <f t="shared" si="27"/>
        <v>5683.7070925714279</v>
      </c>
      <c r="BL25" s="5">
        <f t="shared" si="28"/>
        <v>922.40052534179904</v>
      </c>
      <c r="BM25" s="5">
        <v>69.70703200150794</v>
      </c>
      <c r="BN25" s="5">
        <v>74.788976142871533</v>
      </c>
      <c r="BO25" s="5">
        <v>2.1071428571428572</v>
      </c>
      <c r="BP25" s="5">
        <v>1.2352941176470589</v>
      </c>
      <c r="BQ25" s="5">
        <v>2509.0046953220335</v>
      </c>
      <c r="BR25" s="5">
        <v>4754.0017598095219</v>
      </c>
      <c r="BS25" s="5">
        <v>60.625224842338298</v>
      </c>
      <c r="BT25" s="5">
        <v>71.48081757838132</v>
      </c>
      <c r="BU25" s="5">
        <v>3.4509803921568629</v>
      </c>
      <c r="BV25" s="5">
        <v>1.1590909090909092</v>
      </c>
      <c r="BW25" s="5">
        <v>1128.8781562727274</v>
      </c>
      <c r="BX25" s="5">
        <v>4651.7460106666658</v>
      </c>
    </row>
    <row r="26" spans="1:76" x14ac:dyDescent="0.25">
      <c r="A26" s="39" t="s">
        <v>24</v>
      </c>
      <c r="B26" s="32" t="s">
        <v>4</v>
      </c>
      <c r="C26" s="32">
        <v>52.5</v>
      </c>
      <c r="D26" s="32">
        <v>53.3</v>
      </c>
      <c r="E26" s="32">
        <f t="shared" si="29"/>
        <v>0.79999999999999716</v>
      </c>
      <c r="F26" s="32">
        <v>13.4</v>
      </c>
      <c r="G26" s="32">
        <v>11.5</v>
      </c>
      <c r="H26" s="32">
        <f t="shared" si="30"/>
        <v>-1.9000000000000004</v>
      </c>
      <c r="I26" s="32">
        <v>1.69</v>
      </c>
      <c r="J26" s="32">
        <v>2.12</v>
      </c>
      <c r="K26" s="32">
        <f t="shared" si="31"/>
        <v>0.43000000000000016</v>
      </c>
      <c r="L26" s="28">
        <f t="shared" si="8"/>
        <v>25.443786982248529</v>
      </c>
      <c r="M26" s="32">
        <v>130.9</v>
      </c>
      <c r="N26" s="32">
        <v>147.30000000000001</v>
      </c>
      <c r="O26" s="40">
        <f t="shared" si="32"/>
        <v>16.400000000000006</v>
      </c>
      <c r="P26" s="30">
        <f t="shared" si="10"/>
        <v>12.528647822765473</v>
      </c>
      <c r="Q26" s="32">
        <v>78.2</v>
      </c>
      <c r="R26" s="32">
        <v>79.8</v>
      </c>
      <c r="S26" s="40">
        <f t="shared" si="33"/>
        <v>1.5999999999999943</v>
      </c>
      <c r="T26" s="32">
        <v>127.5</v>
      </c>
      <c r="U26" s="32">
        <v>143.30000000000001</v>
      </c>
      <c r="V26" s="40">
        <f t="shared" si="34"/>
        <v>15.800000000000011</v>
      </c>
      <c r="W26" s="32">
        <v>32.5</v>
      </c>
      <c r="X26" s="32">
        <v>28.1</v>
      </c>
      <c r="Y26" s="40">
        <f t="shared" si="35"/>
        <v>-4.3999999999999986</v>
      </c>
      <c r="Z26" s="32">
        <v>3.5</v>
      </c>
      <c r="AA26" s="32">
        <v>4.0999999999999996</v>
      </c>
      <c r="AB26" s="40">
        <f t="shared" si="36"/>
        <v>0.59999999999999964</v>
      </c>
      <c r="AC26" s="40">
        <v>28.5</v>
      </c>
      <c r="AD26" s="40">
        <v>23.8</v>
      </c>
      <c r="AE26" s="40">
        <f t="shared" si="20"/>
        <v>-4.6999999999999993</v>
      </c>
      <c r="AF26" s="5">
        <v>85.753176043557161</v>
      </c>
      <c r="AG26" s="5">
        <v>161.07078039927404</v>
      </c>
      <c r="AH26" s="5">
        <f t="shared" si="21"/>
        <v>75.317604355716881</v>
      </c>
      <c r="AI26" s="5">
        <v>35.843920145190559</v>
      </c>
      <c r="AJ26" s="5">
        <v>61.705989110707797</v>
      </c>
      <c r="AK26" s="5">
        <f t="shared" si="22"/>
        <v>25.862068965517238</v>
      </c>
      <c r="AL26" s="5">
        <v>74.8638838475499</v>
      </c>
      <c r="AM26" s="5">
        <v>117.05989110707803</v>
      </c>
      <c r="AN26" s="5">
        <f t="shared" si="23"/>
        <v>42.19600725952813</v>
      </c>
      <c r="AO26" s="5">
        <v>158570.78</v>
      </c>
      <c r="AP26" s="5">
        <v>772.43499999999995</v>
      </c>
      <c r="AQ26" s="5">
        <v>1100.4825000000001</v>
      </c>
      <c r="AR26" s="5">
        <v>44.3675</v>
      </c>
      <c r="AS26" s="5">
        <v>86.412499999999994</v>
      </c>
      <c r="AT26" s="5">
        <v>73.247500000000002</v>
      </c>
      <c r="AU26" s="5">
        <v>78.657499999999999</v>
      </c>
      <c r="AV26" s="5">
        <v>313.45249999999999</v>
      </c>
      <c r="AW26" s="5">
        <v>67.197500000000005</v>
      </c>
      <c r="AX26" s="5">
        <v>5.66</v>
      </c>
      <c r="AY26" s="5">
        <v>5.89</v>
      </c>
      <c r="AZ26" s="5">
        <v>5292.9295808316838</v>
      </c>
      <c r="BA26" s="5">
        <v>5152.8448002689083</v>
      </c>
      <c r="BB26" s="5">
        <f t="shared" si="24"/>
        <v>-140.08478056277545</v>
      </c>
      <c r="BC26" s="5">
        <v>101</v>
      </c>
      <c r="BD26" s="5">
        <v>119</v>
      </c>
      <c r="BE26" s="5">
        <v>4327.0394430638289</v>
      </c>
      <c r="BF26" s="5">
        <v>4840.9761863529402</v>
      </c>
      <c r="BG26" s="5">
        <f t="shared" si="25"/>
        <v>513.93674328911129</v>
      </c>
      <c r="BH26" s="5">
        <v>47</v>
      </c>
      <c r="BI26" s="5">
        <v>34</v>
      </c>
      <c r="BJ26" s="5">
        <f t="shared" si="26"/>
        <v>4986.194199243243</v>
      </c>
      <c r="BK26" s="5">
        <f t="shared" si="27"/>
        <v>5083.5406638431377</v>
      </c>
      <c r="BL26" s="5">
        <f t="shared" si="28"/>
        <v>97.346464599894716</v>
      </c>
      <c r="BM26" s="5">
        <v>68.975147394695938</v>
      </c>
      <c r="BN26" s="5">
        <v>69.517083287564475</v>
      </c>
      <c r="BO26" s="5">
        <v>0.35643564356435642</v>
      </c>
      <c r="BP26" s="5">
        <v>0.5714285714285714</v>
      </c>
      <c r="BQ26" s="5">
        <v>14849.607990666669</v>
      </c>
      <c r="BR26" s="5">
        <v>9017.4784004705907</v>
      </c>
      <c r="BS26" s="5">
        <v>62.80228723764214</v>
      </c>
      <c r="BT26" s="5">
        <v>67.597613567740908</v>
      </c>
      <c r="BU26" s="5">
        <v>0.36170212765957449</v>
      </c>
      <c r="BV26" s="5">
        <v>0.23529411764705882</v>
      </c>
      <c r="BW26" s="5">
        <v>11962.991401411762</v>
      </c>
      <c r="BX26" s="5">
        <v>20574.148791999996</v>
      </c>
    </row>
    <row r="27" spans="1:76" s="48" customFormat="1" ht="15.75" thickBot="1" x14ac:dyDescent="0.3">
      <c r="A27" s="49" t="s">
        <v>26</v>
      </c>
      <c r="B27" s="46" t="s">
        <v>4</v>
      </c>
      <c r="C27" s="46">
        <v>54.6</v>
      </c>
      <c r="D27" s="46">
        <v>56.1</v>
      </c>
      <c r="E27" s="46">
        <f t="shared" si="29"/>
        <v>1.5</v>
      </c>
      <c r="F27" s="46">
        <v>12.4</v>
      </c>
      <c r="G27" s="46">
        <v>14.4</v>
      </c>
      <c r="H27" s="46">
        <f t="shared" si="30"/>
        <v>2</v>
      </c>
      <c r="I27" s="46">
        <v>1.6</v>
      </c>
      <c r="J27" s="46">
        <v>1.96</v>
      </c>
      <c r="K27" s="46">
        <f t="shared" si="31"/>
        <v>0.35999999999999988</v>
      </c>
      <c r="L27" s="45">
        <f t="shared" si="8"/>
        <v>22.499999999999993</v>
      </c>
      <c r="M27" s="46">
        <v>117.6</v>
      </c>
      <c r="N27" s="46">
        <v>140.19999999999999</v>
      </c>
      <c r="O27" s="50">
        <f t="shared" si="32"/>
        <v>22.599999999999994</v>
      </c>
      <c r="P27" s="47">
        <f t="shared" si="10"/>
        <v>19.217687074829929</v>
      </c>
      <c r="Q27" s="46">
        <v>79.5</v>
      </c>
      <c r="R27" s="46">
        <v>76.8</v>
      </c>
      <c r="S27" s="50">
        <f t="shared" si="33"/>
        <v>-2.7000000000000028</v>
      </c>
      <c r="T27" s="46">
        <v>113.7</v>
      </c>
      <c r="U27" s="46">
        <v>133.80000000000001</v>
      </c>
      <c r="V27" s="50">
        <f t="shared" si="34"/>
        <v>20.100000000000009</v>
      </c>
      <c r="W27" s="46">
        <v>55.2</v>
      </c>
      <c r="X27" s="46">
        <v>63.3</v>
      </c>
      <c r="Y27" s="50">
        <f t="shared" si="35"/>
        <v>8.0999999999999943</v>
      </c>
      <c r="Z27" s="46">
        <v>3.9</v>
      </c>
      <c r="AA27" s="46">
        <v>6.4</v>
      </c>
      <c r="AB27" s="50">
        <f t="shared" si="36"/>
        <v>2.5000000000000004</v>
      </c>
      <c r="AC27" s="50">
        <v>51.2</v>
      </c>
      <c r="AD27" s="50">
        <v>58.6</v>
      </c>
      <c r="AE27" s="50">
        <f t="shared" si="20"/>
        <v>7.3999999999999986</v>
      </c>
      <c r="AF27" s="67">
        <v>97.549909255898356</v>
      </c>
      <c r="AG27" s="67">
        <v>153.81125226860252</v>
      </c>
      <c r="AH27" s="67">
        <f t="shared" si="21"/>
        <v>56.26134301270416</v>
      </c>
      <c r="AI27" s="67">
        <v>51.27041742286751</v>
      </c>
      <c r="AJ27" s="67">
        <v>64.42831215970962</v>
      </c>
      <c r="AK27" s="67">
        <f t="shared" si="22"/>
        <v>13.15789473684211</v>
      </c>
      <c r="AL27" s="67">
        <v>85.299455535390194</v>
      </c>
      <c r="AM27" s="67">
        <v>107.53176043557168</v>
      </c>
      <c r="AN27" s="67">
        <f t="shared" si="23"/>
        <v>22.232304900181489</v>
      </c>
      <c r="AO27" s="67">
        <v>167447.82</v>
      </c>
      <c r="AP27" s="67">
        <v>1309.7874999999999</v>
      </c>
      <c r="AQ27" s="67">
        <v>2557.0025000000001</v>
      </c>
      <c r="AR27" s="67">
        <v>109.935</v>
      </c>
      <c r="AS27" s="67">
        <v>126.375</v>
      </c>
      <c r="AT27" s="67">
        <v>7.55</v>
      </c>
      <c r="AU27" s="67">
        <v>238.8725</v>
      </c>
      <c r="AV27" s="67">
        <v>38.380000000000003</v>
      </c>
      <c r="AW27" s="67">
        <v>135.285</v>
      </c>
      <c r="AX27" s="67">
        <v>2.5775000000000001</v>
      </c>
      <c r="AY27" s="67">
        <v>15.03</v>
      </c>
      <c r="AZ27" s="67">
        <v>3804.7856362666662</v>
      </c>
      <c r="BA27" s="67">
        <v>6655.3765764155869</v>
      </c>
      <c r="BB27" s="67">
        <f t="shared" si="24"/>
        <v>2850.5909401489207</v>
      </c>
      <c r="BC27" s="67">
        <v>120</v>
      </c>
      <c r="BD27" s="67">
        <v>77</v>
      </c>
      <c r="BE27" s="67">
        <v>4148.4449291636356</v>
      </c>
      <c r="BF27" s="67">
        <v>5255.7068934736835</v>
      </c>
      <c r="BG27" s="67">
        <f t="shared" si="25"/>
        <v>1107.2619643100479</v>
      </c>
      <c r="BH27" s="67">
        <v>55</v>
      </c>
      <c r="BI27" s="67">
        <v>38</v>
      </c>
      <c r="BJ27" s="67">
        <f t="shared" si="26"/>
        <v>3912.7928426057142</v>
      </c>
      <c r="BK27" s="67">
        <f t="shared" si="27"/>
        <v>6192.8770290086968</v>
      </c>
      <c r="BL27" s="67">
        <f t="shared" si="28"/>
        <v>2280.0841864029826</v>
      </c>
      <c r="BM27" s="67">
        <v>59.667299815340876</v>
      </c>
      <c r="BN27" s="67">
        <v>79.359940804597301</v>
      </c>
      <c r="BO27" s="67">
        <v>0.71666666666666667</v>
      </c>
      <c r="BP27" s="67">
        <v>1.5324675324675325</v>
      </c>
      <c r="BQ27" s="67">
        <v>5309.0032133953482</v>
      </c>
      <c r="BR27" s="67">
        <v>4342.9152235932215</v>
      </c>
      <c r="BS27" s="67">
        <v>61.386131738311697</v>
      </c>
      <c r="BT27" s="67">
        <v>69.820251150732489</v>
      </c>
      <c r="BU27" s="67">
        <v>0.32727272727272727</v>
      </c>
      <c r="BV27" s="67">
        <v>1.5</v>
      </c>
      <c r="BW27" s="67">
        <v>12675.80395022222</v>
      </c>
      <c r="BX27" s="67">
        <v>3503.8045956491223</v>
      </c>
    </row>
    <row r="28" spans="1:76" ht="15.75" thickTop="1" x14ac:dyDescent="0.25">
      <c r="A28" s="41" t="s">
        <v>27</v>
      </c>
      <c r="B28" s="32"/>
      <c r="C28" s="34">
        <f t="shared" ref="C28:BN28" si="37">AVERAGE(C16:C27)</f>
        <v>56.06666666666667</v>
      </c>
      <c r="D28" s="34">
        <f t="shared" si="37"/>
        <v>57.541666666666679</v>
      </c>
      <c r="E28" s="34">
        <f t="shared" si="37"/>
        <v>1.4750000000000021</v>
      </c>
      <c r="F28" s="34">
        <f t="shared" si="37"/>
        <v>20.75</v>
      </c>
      <c r="G28" s="34">
        <f t="shared" si="37"/>
        <v>20.083333333333332</v>
      </c>
      <c r="H28" s="34">
        <f t="shared" si="37"/>
        <v>-0.66666666666666685</v>
      </c>
      <c r="I28" s="34">
        <f t="shared" si="37"/>
        <v>1.8208333333333337</v>
      </c>
      <c r="J28" s="34">
        <f t="shared" si="37"/>
        <v>2.2550000000000003</v>
      </c>
      <c r="K28" s="34">
        <f t="shared" si="37"/>
        <v>0.43416666666666659</v>
      </c>
      <c r="L28" s="28"/>
      <c r="M28" s="34">
        <f t="shared" si="37"/>
        <v>141.61666666666665</v>
      </c>
      <c r="N28" s="34">
        <f t="shared" si="37"/>
        <v>155.66666666666666</v>
      </c>
      <c r="O28" s="34">
        <f t="shared" si="37"/>
        <v>14.049999999999992</v>
      </c>
      <c r="P28" s="30"/>
      <c r="Q28" s="34">
        <f t="shared" si="37"/>
        <v>77.375</v>
      </c>
      <c r="R28" s="34">
        <f t="shared" si="37"/>
        <v>78.766666666666652</v>
      </c>
      <c r="S28" s="34">
        <f t="shared" si="37"/>
        <v>1.3916666666666668</v>
      </c>
      <c r="T28" s="34">
        <f t="shared" si="37"/>
        <v>132.88333333333335</v>
      </c>
      <c r="U28" s="34">
        <f t="shared" si="37"/>
        <v>146.29166666666666</v>
      </c>
      <c r="V28" s="34">
        <f t="shared" si="37"/>
        <v>13.408333333333337</v>
      </c>
      <c r="W28" s="34">
        <f t="shared" si="37"/>
        <v>61.466666666666669</v>
      </c>
      <c r="X28" s="34">
        <f t="shared" si="37"/>
        <v>61.56666666666667</v>
      </c>
      <c r="Y28" s="34">
        <f t="shared" si="37"/>
        <v>9.9999999999998465E-2</v>
      </c>
      <c r="Z28" s="34">
        <f t="shared" si="37"/>
        <v>8.7333333333333343</v>
      </c>
      <c r="AA28" s="34">
        <f t="shared" si="37"/>
        <v>9.3833333333333329</v>
      </c>
      <c r="AB28" s="34">
        <f t="shared" si="37"/>
        <v>0.65000000000000024</v>
      </c>
      <c r="AC28" s="34">
        <f t="shared" si="37"/>
        <v>56.891666666666673</v>
      </c>
      <c r="AD28" s="34">
        <f t="shared" si="37"/>
        <v>56.650000000000006</v>
      </c>
      <c r="AE28" s="34">
        <f t="shared" si="37"/>
        <v>-0.24166666666666656</v>
      </c>
      <c r="AF28" s="34">
        <f t="shared" si="37"/>
        <v>161.07078039927404</v>
      </c>
      <c r="AG28" s="34">
        <f t="shared" si="37"/>
        <v>258.65849969751963</v>
      </c>
      <c r="AH28" s="34">
        <f t="shared" si="37"/>
        <v>97.587719298245602</v>
      </c>
      <c r="AI28" s="34">
        <f t="shared" si="37"/>
        <v>65.297943133696307</v>
      </c>
      <c r="AJ28" s="34">
        <f t="shared" si="37"/>
        <v>81.06473079249848</v>
      </c>
      <c r="AK28" s="34">
        <f t="shared" si="37"/>
        <v>15.76678765880218</v>
      </c>
      <c r="AL28" s="34">
        <f t="shared" si="37"/>
        <v>102.72988505747126</v>
      </c>
      <c r="AM28" s="34">
        <f t="shared" si="37"/>
        <v>136.83454325468844</v>
      </c>
      <c r="AN28" s="34">
        <f t="shared" si="37"/>
        <v>34.104658197217177</v>
      </c>
      <c r="AO28" s="34">
        <f t="shared" si="37"/>
        <v>224348.34416666662</v>
      </c>
      <c r="AP28" s="34">
        <f t="shared" si="37"/>
        <v>1810.1539583333333</v>
      </c>
      <c r="AQ28" s="34">
        <f t="shared" si="37"/>
        <v>2157.0952083333332</v>
      </c>
      <c r="AR28" s="34">
        <f t="shared" si="37"/>
        <v>112.51423611083334</v>
      </c>
      <c r="AS28" s="34">
        <f t="shared" si="37"/>
        <v>112.66249999999998</v>
      </c>
      <c r="AT28" s="34">
        <f t="shared" si="37"/>
        <v>235.08326388916672</v>
      </c>
      <c r="AU28" s="34">
        <f t="shared" si="37"/>
        <v>235.326875</v>
      </c>
      <c r="AV28" s="34">
        <f t="shared" si="37"/>
        <v>548.87152777500012</v>
      </c>
      <c r="AW28" s="34">
        <f t="shared" si="37"/>
        <v>86.42435416666666</v>
      </c>
      <c r="AX28" s="34">
        <f t="shared" si="37"/>
        <v>13.858611111083334</v>
      </c>
      <c r="AY28" s="34">
        <f t="shared" si="37"/>
        <v>14.217916666666666</v>
      </c>
      <c r="AZ28" s="34">
        <f t="shared" si="37"/>
        <v>5550.01444853672</v>
      </c>
      <c r="BA28" s="34">
        <f t="shared" si="37"/>
        <v>6327.5769526422191</v>
      </c>
      <c r="BB28" s="34">
        <f t="shared" si="37"/>
        <v>777.56250410549922</v>
      </c>
      <c r="BC28" s="34">
        <f t="shared" si="37"/>
        <v>91.916666666666671</v>
      </c>
      <c r="BD28" s="34">
        <f t="shared" si="37"/>
        <v>81.916666666666671</v>
      </c>
      <c r="BE28" s="34">
        <f t="shared" si="37"/>
        <v>4678.6605489311005</v>
      </c>
      <c r="BF28" s="34">
        <f t="shared" si="37"/>
        <v>4850.4412150112739</v>
      </c>
      <c r="BG28" s="34">
        <f t="shared" si="37"/>
        <v>171.78066608017411</v>
      </c>
      <c r="BH28" s="34">
        <f t="shared" si="37"/>
        <v>51.583333333333336</v>
      </c>
      <c r="BI28" s="34">
        <f t="shared" si="37"/>
        <v>47.416666666666664</v>
      </c>
      <c r="BJ28" s="34">
        <f t="shared" si="37"/>
        <v>5172.3324356001749</v>
      </c>
      <c r="BK28" s="34">
        <f t="shared" si="37"/>
        <v>5742.2827766258442</v>
      </c>
      <c r="BL28" s="34">
        <f t="shared" si="37"/>
        <v>569.95034102566865</v>
      </c>
      <c r="BM28" s="34">
        <f t="shared" si="37"/>
        <v>69.423098803150495</v>
      </c>
      <c r="BN28" s="34">
        <f t="shared" si="37"/>
        <v>75.282656551569417</v>
      </c>
      <c r="BO28" s="34">
        <f t="shared" ref="BO28:BX28" si="38">AVERAGE(BO16:BO27)</f>
        <v>0.87414922895124747</v>
      </c>
      <c r="BP28" s="34">
        <f t="shared" si="38"/>
        <v>0.93077829438987603</v>
      </c>
      <c r="BQ28" s="34">
        <f t="shared" si="38"/>
        <v>7987.3045863186671</v>
      </c>
      <c r="BR28" s="34">
        <f t="shared" si="38"/>
        <v>9440.0619899629182</v>
      </c>
      <c r="BS28" s="34">
        <f t="shared" si="38"/>
        <v>64.358394154784193</v>
      </c>
      <c r="BT28" s="34">
        <f t="shared" si="38"/>
        <v>66.088292778517641</v>
      </c>
      <c r="BU28" s="34">
        <f t="shared" si="38"/>
        <v>1.1546531598608787</v>
      </c>
      <c r="BV28" s="34">
        <f t="shared" si="38"/>
        <v>0.73187608068505716</v>
      </c>
      <c r="BW28" s="34">
        <f t="shared" si="38"/>
        <v>7549.4315189248709</v>
      </c>
      <c r="BX28" s="34">
        <f t="shared" si="38"/>
        <v>10464.289250138243</v>
      </c>
    </row>
    <row r="29" spans="1:76" x14ac:dyDescent="0.25">
      <c r="A29" s="41" t="s">
        <v>44</v>
      </c>
      <c r="B29" s="32"/>
      <c r="C29" s="34">
        <f>STDEV(C16:C27)</f>
        <v>7.2363141463207556</v>
      </c>
      <c r="D29" s="34">
        <f t="shared" ref="D29:BO29" si="39">STDEV(D16:D27)</f>
        <v>7.8490831350294945</v>
      </c>
      <c r="E29" s="34">
        <f t="shared" si="39"/>
        <v>2.0195071405937361</v>
      </c>
      <c r="F29" s="34">
        <f t="shared" si="39"/>
        <v>9.2996089849373398</v>
      </c>
      <c r="G29" s="34">
        <f t="shared" si="39"/>
        <v>9.4344468772041878</v>
      </c>
      <c r="H29" s="34">
        <f t="shared" si="39"/>
        <v>1.7767863397070838</v>
      </c>
      <c r="I29" s="34">
        <f t="shared" si="39"/>
        <v>0.38044133064193258</v>
      </c>
      <c r="J29" s="34">
        <f t="shared" si="39"/>
        <v>0.51540804664406692</v>
      </c>
      <c r="K29" s="34">
        <f t="shared" si="39"/>
        <v>0.38873824643637045</v>
      </c>
      <c r="L29" s="28"/>
      <c r="M29" s="34">
        <f t="shared" si="39"/>
        <v>23.028552764432352</v>
      </c>
      <c r="N29" s="34">
        <f t="shared" si="39"/>
        <v>24.031885384869639</v>
      </c>
      <c r="O29" s="34">
        <f t="shared" si="39"/>
        <v>7.7627900326434878</v>
      </c>
      <c r="P29" s="30"/>
      <c r="Q29" s="34">
        <f t="shared" si="39"/>
        <v>1.2068930810518828</v>
      </c>
      <c r="R29" s="34">
        <f t="shared" si="39"/>
        <v>0.98565468167870596</v>
      </c>
      <c r="S29" s="34">
        <f t="shared" si="39"/>
        <v>1.6222645974816869</v>
      </c>
      <c r="T29" s="34">
        <f t="shared" si="39"/>
        <v>19.367725418302971</v>
      </c>
      <c r="U29" s="34">
        <f t="shared" si="39"/>
        <v>20.920692598188019</v>
      </c>
      <c r="V29" s="34">
        <f t="shared" si="39"/>
        <v>6.5803368708093748</v>
      </c>
      <c r="W29" s="34">
        <f t="shared" si="39"/>
        <v>29.137958165606015</v>
      </c>
      <c r="X29" s="34">
        <f t="shared" si="39"/>
        <v>30.429481318835069</v>
      </c>
      <c r="Y29" s="34">
        <f t="shared" si="39"/>
        <v>4.9119520281933431</v>
      </c>
      <c r="Z29" s="34">
        <f t="shared" si="39"/>
        <v>4.8644037910543814</v>
      </c>
      <c r="AA29" s="34">
        <f t="shared" si="39"/>
        <v>4.9493495134270553</v>
      </c>
      <c r="AB29" s="34">
        <f t="shared" si="39"/>
        <v>1.7573223432773564</v>
      </c>
      <c r="AC29" s="34">
        <f t="shared" si="39"/>
        <v>28.701772461369742</v>
      </c>
      <c r="AD29" s="34">
        <f t="shared" si="39"/>
        <v>29.959715376727878</v>
      </c>
      <c r="AE29" s="34">
        <f t="shared" si="39"/>
        <v>4.6988312537816403</v>
      </c>
      <c r="AF29" s="34">
        <f t="shared" si="39"/>
        <v>65.893647362215546</v>
      </c>
      <c r="AG29" s="34">
        <f t="shared" si="39"/>
        <v>84.60894018419576</v>
      </c>
      <c r="AH29" s="34">
        <f t="shared" si="39"/>
        <v>35.163915953638913</v>
      </c>
      <c r="AI29" s="34">
        <f t="shared" si="39"/>
        <v>23.864348612798857</v>
      </c>
      <c r="AJ29" s="34">
        <f t="shared" si="39"/>
        <v>25.371739640451384</v>
      </c>
      <c r="AK29" s="34">
        <f t="shared" si="39"/>
        <v>6.2094341903659718</v>
      </c>
      <c r="AL29" s="34">
        <f t="shared" si="39"/>
        <v>29.56469261623548</v>
      </c>
      <c r="AM29" s="34">
        <f t="shared" si="39"/>
        <v>33.520345851936163</v>
      </c>
      <c r="AN29" s="34">
        <f t="shared" si="39"/>
        <v>8.6127259678789141</v>
      </c>
      <c r="AO29" s="34">
        <f t="shared" si="39"/>
        <v>67788.644426814237</v>
      </c>
      <c r="AP29" s="34">
        <f t="shared" si="39"/>
        <v>692.51172302799421</v>
      </c>
      <c r="AQ29" s="34">
        <f t="shared" si="39"/>
        <v>611.59076243976995</v>
      </c>
      <c r="AR29" s="34">
        <f t="shared" si="39"/>
        <v>54.074291448517741</v>
      </c>
      <c r="AS29" s="34">
        <f t="shared" si="39"/>
        <v>38.710237634600958</v>
      </c>
      <c r="AT29" s="34">
        <f t="shared" si="39"/>
        <v>160.61997043329268</v>
      </c>
      <c r="AU29" s="34">
        <f t="shared" si="39"/>
        <v>91.482748088747954</v>
      </c>
      <c r="AV29" s="34">
        <f t="shared" si="39"/>
        <v>372.35385014722141</v>
      </c>
      <c r="AW29" s="34">
        <f t="shared" si="39"/>
        <v>28.721586178671373</v>
      </c>
      <c r="AX29" s="34">
        <f t="shared" si="39"/>
        <v>11.164052992050784</v>
      </c>
      <c r="AY29" s="34">
        <f t="shared" si="39"/>
        <v>6.3063981610069311</v>
      </c>
      <c r="AZ29" s="34">
        <f t="shared" si="39"/>
        <v>1510.7185326857955</v>
      </c>
      <c r="BA29" s="34">
        <f t="shared" si="39"/>
        <v>1400.1944214687692</v>
      </c>
      <c r="BB29" s="34">
        <f t="shared" si="39"/>
        <v>1061.448329606699</v>
      </c>
      <c r="BC29" s="34">
        <f t="shared" si="39"/>
        <v>41.112834389216609</v>
      </c>
      <c r="BD29" s="34">
        <f t="shared" si="39"/>
        <v>27.50358103405755</v>
      </c>
      <c r="BE29" s="34">
        <f t="shared" si="39"/>
        <v>1169.54395088447</v>
      </c>
      <c r="BF29" s="34">
        <f t="shared" si="39"/>
        <v>818.66241080047052</v>
      </c>
      <c r="BG29" s="34">
        <f t="shared" si="39"/>
        <v>896.01664030601501</v>
      </c>
      <c r="BH29" s="34">
        <f t="shared" si="39"/>
        <v>12.302685097411082</v>
      </c>
      <c r="BI29" s="34">
        <f t="shared" si="39"/>
        <v>16.450799004266873</v>
      </c>
      <c r="BJ29" s="34">
        <f t="shared" si="39"/>
        <v>1251.5201537502155</v>
      </c>
      <c r="BK29" s="34">
        <f t="shared" si="39"/>
        <v>1079.6749053676263</v>
      </c>
      <c r="BL29" s="34">
        <f t="shared" si="39"/>
        <v>954.54631356183666</v>
      </c>
      <c r="BM29" s="34">
        <f t="shared" si="39"/>
        <v>7.8502585249931993</v>
      </c>
      <c r="BN29" s="34">
        <f t="shared" si="39"/>
        <v>8.4387626998198737</v>
      </c>
      <c r="BO29" s="34">
        <f t="shared" si="39"/>
        <v>0.51051484301719918</v>
      </c>
      <c r="BP29" s="34">
        <f t="shared" ref="BP29:BX29" si="40">STDEV(BP16:BP27)</f>
        <v>0.71187851552486969</v>
      </c>
      <c r="BQ29" s="34">
        <f t="shared" si="40"/>
        <v>3725.6705648950356</v>
      </c>
      <c r="BR29" s="34">
        <f t="shared" si="40"/>
        <v>4614.9970454790946</v>
      </c>
      <c r="BS29" s="34">
        <f t="shared" si="40"/>
        <v>6.6720081844352004</v>
      </c>
      <c r="BT29" s="34">
        <f t="shared" si="40"/>
        <v>5.6085113379968989</v>
      </c>
      <c r="BU29" s="34">
        <f t="shared" si="40"/>
        <v>1.1279720483132132</v>
      </c>
      <c r="BV29" s="34">
        <f t="shared" si="40"/>
        <v>0.62323559736928957</v>
      </c>
      <c r="BW29" s="34">
        <f t="shared" si="40"/>
        <v>4258.1506166505415</v>
      </c>
      <c r="BX29" s="34">
        <f t="shared" si="40"/>
        <v>6082.5447289384547</v>
      </c>
    </row>
    <row r="30" spans="1:76" x14ac:dyDescent="0.25">
      <c r="A30" s="41" t="s">
        <v>45</v>
      </c>
      <c r="B30" s="32"/>
      <c r="C30" s="32"/>
      <c r="D30" s="34">
        <f>TTEST(D16:D27,C16:C27,2,1)</f>
        <v>2.7968553638465014E-2</v>
      </c>
      <c r="E30" s="32"/>
      <c r="F30" s="32"/>
      <c r="G30" s="34">
        <f>TTEST(G16:G27,F16:F27,2,1)</f>
        <v>0.2202597049009033</v>
      </c>
      <c r="H30" s="32"/>
      <c r="I30" s="32"/>
      <c r="J30" s="34">
        <f>TTEST(I16:I27,J16:J27,2,1)</f>
        <v>2.6127918610677845E-3</v>
      </c>
      <c r="K30" s="34"/>
      <c r="L30" s="28"/>
      <c r="M30" s="34"/>
      <c r="N30" s="34">
        <f>TTEST(M16:M27,N16:N27,2,1)</f>
        <v>6.089600716912427E-5</v>
      </c>
      <c r="O30" s="34"/>
      <c r="P30" s="30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40"/>
      <c r="AG30" s="34">
        <f>TTEST(AG16:AG27,AF16:AF27,2,1)</f>
        <v>1.0944186093234058E-6</v>
      </c>
      <c r="AJ30" s="34">
        <f>TTEST(AJ16:AJ27,AI16:AI27,2,1)</f>
        <v>2.6220139855088625E-6</v>
      </c>
      <c r="AM30" s="34">
        <f>TTEST(AM16:AM27,AL16:AL27,2,1)</f>
        <v>2.9096253011846218E-8</v>
      </c>
      <c r="AQ30" s="34">
        <f>TTEST(AQ16:AQ27,AP16:AP27,2,1)</f>
        <v>7.7062879663133396E-2</v>
      </c>
      <c r="AS30" s="34">
        <f>TTEST(AS16:AS27,AR16:AR27,2,1)</f>
        <v>0.99363264778148674</v>
      </c>
      <c r="AU30" s="34">
        <f>TTEST(AU16:AU27,AT16:AT27,2,1)</f>
        <v>0.9953032989228483</v>
      </c>
      <c r="AW30" s="34">
        <f>TTEST(AW16:AW27,AV16:AV27,2,1)</f>
        <v>1.3658093612833305E-3</v>
      </c>
      <c r="BA30" s="34">
        <f>TTEST(BA16:BA27,AZ16:AZ27,2,1)</f>
        <v>2.7596491830635381E-2</v>
      </c>
      <c r="BF30" s="34">
        <f>TTEST(BF16:BF27,BE16:BE27,2,1)</f>
        <v>0.52028912627946955</v>
      </c>
      <c r="BK30" s="34">
        <f>TTEST(BK16:BK27,BJ16:BJ27,2,1)</f>
        <v>6.2948561462936786E-2</v>
      </c>
      <c r="BP30" s="34">
        <f>TTEST(BP16:BP27,BO16:BO27,2,1)</f>
        <v>0.77377845203024853</v>
      </c>
    </row>
    <row r="31" spans="1:76" ht="26.25" x14ac:dyDescent="0.25">
      <c r="A31" s="41" t="s">
        <v>120</v>
      </c>
      <c r="B31" s="32"/>
      <c r="C31" s="32"/>
      <c r="D31" s="34">
        <v>7.42</v>
      </c>
      <c r="E31" s="32"/>
      <c r="F31" s="32"/>
      <c r="G31" s="34">
        <v>9.17</v>
      </c>
      <c r="H31" s="32"/>
      <c r="I31" s="32"/>
      <c r="J31" s="34">
        <v>0.49</v>
      </c>
      <c r="K31" s="34"/>
      <c r="L31" s="28"/>
      <c r="M31" s="34"/>
      <c r="N31" s="34">
        <v>24.1</v>
      </c>
      <c r="O31" s="34"/>
      <c r="P31" s="30"/>
      <c r="Q31" s="34"/>
      <c r="R31" s="34">
        <v>1.29</v>
      </c>
      <c r="S31" s="34"/>
      <c r="T31" s="34"/>
      <c r="U31" s="34">
        <v>20.87</v>
      </c>
      <c r="V31" s="34"/>
      <c r="W31" s="34"/>
      <c r="X31" s="34">
        <v>29.13</v>
      </c>
      <c r="Y31" s="34"/>
      <c r="Z31" s="34"/>
      <c r="AA31" s="34">
        <v>4.8099999999999996</v>
      </c>
      <c r="AB31" s="34"/>
      <c r="AC31" s="34"/>
      <c r="AD31" s="34">
        <v>28.69</v>
      </c>
      <c r="AE31" s="40"/>
    </row>
    <row r="32" spans="1:76" x14ac:dyDescent="0.25">
      <c r="A32" s="41" t="s">
        <v>121</v>
      </c>
      <c r="B32" s="32"/>
      <c r="C32" s="32"/>
      <c r="D32" s="34"/>
      <c r="E32" s="34">
        <f>E28/D31</f>
        <v>0.19878706199460944</v>
      </c>
      <c r="F32" s="32"/>
      <c r="G32" s="34"/>
      <c r="H32" s="34">
        <v>7.0000000000000007E-2</v>
      </c>
      <c r="I32" s="32"/>
      <c r="J32" s="34"/>
      <c r="K32" s="34">
        <v>0.88</v>
      </c>
      <c r="L32" s="28"/>
      <c r="M32" s="34"/>
      <c r="N32" s="34"/>
      <c r="O32" s="34">
        <v>0.57999999999999996</v>
      </c>
      <c r="P32" s="30"/>
      <c r="Q32" s="34"/>
      <c r="R32" s="34"/>
      <c r="S32" s="34">
        <v>1.08</v>
      </c>
      <c r="T32" s="34"/>
      <c r="U32" s="34"/>
      <c r="V32" s="34">
        <v>0.64</v>
      </c>
      <c r="W32" s="34"/>
      <c r="X32" s="34"/>
      <c r="Y32" s="34">
        <v>0.01</v>
      </c>
      <c r="Z32" s="34"/>
      <c r="AA32" s="34"/>
      <c r="AB32" s="34">
        <v>0.14000000000000001</v>
      </c>
      <c r="AC32" s="34"/>
      <c r="AD32" s="34"/>
      <c r="AE32" s="42">
        <v>-0.01</v>
      </c>
      <c r="AH32" s="36">
        <f>AH28/AVERAGE(AF29:AG29)</f>
        <v>1.296824471780619</v>
      </c>
      <c r="AK32" s="36">
        <f>AK28/AVERAGE(AI29:AJ29)</f>
        <v>0.64045655201949803</v>
      </c>
      <c r="AN32" s="36">
        <f>AN28/AVERAGE(AL29:AM29)</f>
        <v>1.0812281017922825</v>
      </c>
      <c r="BB32" s="36">
        <f>BB28/AVERAGE(AZ29:BA29)</f>
        <v>0.53423961234961204</v>
      </c>
      <c r="BG32" s="36">
        <f>BG28/AVERAGE(BE29:BF29)</f>
        <v>0.17279963427397502</v>
      </c>
      <c r="BL32" s="36">
        <f>BL28/AVERAGE(BJ29:BK29)</f>
        <v>0.48897696380786437</v>
      </c>
    </row>
    <row r="33" spans="1:76" x14ac:dyDescent="0.25">
      <c r="A33" s="4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28"/>
      <c r="M33" s="32"/>
      <c r="N33" s="32"/>
      <c r="O33" s="32"/>
      <c r="P33" s="30"/>
      <c r="Q33" s="40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40"/>
      <c r="AD33" s="40"/>
      <c r="AE33" s="40"/>
    </row>
    <row r="34" spans="1:76" x14ac:dyDescent="0.25">
      <c r="A34" s="39" t="s">
        <v>29</v>
      </c>
      <c r="B34" s="32" t="s">
        <v>5</v>
      </c>
      <c r="C34" s="32">
        <v>51.3</v>
      </c>
      <c r="D34" s="32">
        <v>54.9</v>
      </c>
      <c r="E34" s="32">
        <f>D34-C34</f>
        <v>3.6000000000000014</v>
      </c>
      <c r="F34" s="32">
        <v>11.9</v>
      </c>
      <c r="G34" s="32">
        <v>12.7</v>
      </c>
      <c r="H34" s="32">
        <f>G34-F34</f>
        <v>0.79999999999999893</v>
      </c>
      <c r="I34" s="32">
        <v>1.92</v>
      </c>
      <c r="J34" s="32">
        <v>2.5099999999999998</v>
      </c>
      <c r="K34" s="32">
        <f>J34-I34</f>
        <v>0.58999999999999986</v>
      </c>
      <c r="L34" s="28">
        <f t="shared" si="8"/>
        <v>30.729166666666664</v>
      </c>
      <c r="M34" s="32">
        <v>146.5</v>
      </c>
      <c r="N34" s="32">
        <v>159.6</v>
      </c>
      <c r="O34" s="40">
        <f>N34-M34</f>
        <v>13.099999999999994</v>
      </c>
      <c r="P34" s="30">
        <f t="shared" si="10"/>
        <v>8.9419795221842975</v>
      </c>
      <c r="Q34" s="40">
        <v>77.3</v>
      </c>
      <c r="R34" s="32">
        <v>78.3</v>
      </c>
      <c r="S34" s="40">
        <f>R34-Q34</f>
        <v>1</v>
      </c>
      <c r="T34" s="32">
        <v>139.80000000000001</v>
      </c>
      <c r="U34" s="32">
        <v>150.69999999999999</v>
      </c>
      <c r="V34" s="40">
        <f>U34-T34</f>
        <v>10.899999999999977</v>
      </c>
      <c r="W34" s="32">
        <v>43.2</v>
      </c>
      <c r="X34" s="32">
        <v>45.8</v>
      </c>
      <c r="Y34" s="40">
        <f>X34-W34</f>
        <v>2.5999999999999943</v>
      </c>
      <c r="Z34" s="32">
        <v>6.7</v>
      </c>
      <c r="AA34" s="32">
        <v>8.9</v>
      </c>
      <c r="AB34" s="40">
        <f>AA34-Z34</f>
        <v>2.2000000000000002</v>
      </c>
      <c r="AC34" s="40">
        <v>38.9</v>
      </c>
      <c r="AD34" s="40">
        <v>41.3</v>
      </c>
      <c r="AE34" s="40">
        <f t="shared" ref="AE34:AE44" si="41">AD34-AC34</f>
        <v>2.3999999999999986</v>
      </c>
      <c r="AF34" s="5">
        <v>122.05081669691469</v>
      </c>
      <c r="AG34" s="5">
        <v>197.36842105263156</v>
      </c>
      <c r="AH34" s="5">
        <f t="shared" ref="AH34:AH44" si="42">AG34-AF34</f>
        <v>75.317604355716867</v>
      </c>
      <c r="AI34" s="5">
        <v>56.261343012704167</v>
      </c>
      <c r="AJ34" s="5">
        <v>70.780399274047184</v>
      </c>
      <c r="AK34" s="5">
        <f t="shared" ref="AK34:AK44" si="43">AJ34-AI34</f>
        <v>14.519056261343017</v>
      </c>
      <c r="AL34" s="5">
        <v>90.290381125226858</v>
      </c>
      <c r="AM34" s="5">
        <v>134.30127041742287</v>
      </c>
      <c r="AN34" s="5">
        <f t="shared" ref="AN34:AN44" si="44">AM34-AL34</f>
        <v>44.010889292196012</v>
      </c>
      <c r="AO34" s="5">
        <v>204730.02</v>
      </c>
      <c r="AP34" s="5">
        <v>1593.2625</v>
      </c>
      <c r="AQ34" s="5">
        <v>1969.3652750000001</v>
      </c>
      <c r="AR34" s="5">
        <v>44.645000000000003</v>
      </c>
      <c r="AS34" s="5">
        <v>74.913889999999995</v>
      </c>
      <c r="AT34" s="5">
        <v>90.64</v>
      </c>
      <c r="AU34" s="5">
        <v>228.6091668</v>
      </c>
      <c r="AV34" s="5">
        <v>57.33</v>
      </c>
      <c r="AW34" s="5">
        <v>76.764166750000001</v>
      </c>
      <c r="AX34" s="5">
        <v>13.3125</v>
      </c>
      <c r="AY34" s="5">
        <v>19.947500000000002</v>
      </c>
      <c r="AZ34" s="5">
        <v>3048.4416738543041</v>
      </c>
      <c r="BA34" s="5">
        <v>5866.674688500002</v>
      </c>
      <c r="BB34" s="5">
        <f t="shared" ref="BB34:BB44" si="45">BA34-AZ34</f>
        <v>2818.2330146456979</v>
      </c>
      <c r="BC34" s="5">
        <v>151</v>
      </c>
      <c r="BD34" s="5">
        <v>64</v>
      </c>
      <c r="BE34" s="5">
        <v>3199.0951149589032</v>
      </c>
      <c r="BF34" s="5">
        <v>5529.7308820645158</v>
      </c>
      <c r="BG34" s="5">
        <f t="shared" ref="BG34:BG44" si="46">BF34-BE34</f>
        <v>2330.6357671056126</v>
      </c>
      <c r="BH34" s="5">
        <v>73</v>
      </c>
      <c r="BI34" s="5">
        <v>62</v>
      </c>
      <c r="BJ34" s="5">
        <f t="shared" ref="BJ34:BJ44" si="47">((AZ34*BC34)+(BE34*BH34))/(BC34+BH34)</f>
        <v>3097.5385542142853</v>
      </c>
      <c r="BK34" s="5">
        <f t="shared" ref="BK34:BK44" si="48">((BA34*BD34)+(BF34*BI34))/(BD34+BI34)</f>
        <v>5700.8769424761913</v>
      </c>
      <c r="BL34" s="5">
        <f t="shared" ref="BL34:BL44" si="49">BK34-BJ34</f>
        <v>2603.3383882619059</v>
      </c>
      <c r="BM34" s="5">
        <v>51.108207382100247</v>
      </c>
      <c r="BN34" s="5">
        <v>74.746558362640414</v>
      </c>
      <c r="BO34" s="5">
        <v>1.0794701986754967</v>
      </c>
      <c r="BP34" s="5">
        <v>1.03125</v>
      </c>
      <c r="BQ34" s="5">
        <v>2824.0165199509197</v>
      </c>
      <c r="BR34" s="5">
        <v>5688.8966676363652</v>
      </c>
      <c r="BS34" s="5">
        <v>54.623649223897999</v>
      </c>
      <c r="BT34" s="5">
        <v>72.700923333061411</v>
      </c>
      <c r="BU34" s="5">
        <v>2.4246575342465753</v>
      </c>
      <c r="BV34" s="5">
        <v>0.93548387096774188</v>
      </c>
      <c r="BW34" s="5">
        <v>1319.4008101242935</v>
      </c>
      <c r="BX34" s="5">
        <v>5911.0916325517237</v>
      </c>
    </row>
    <row r="35" spans="1:76" x14ac:dyDescent="0.25">
      <c r="A35" s="39" t="s">
        <v>31</v>
      </c>
      <c r="B35" s="32" t="s">
        <v>5</v>
      </c>
      <c r="C35" s="32">
        <v>60.4</v>
      </c>
      <c r="D35" s="32">
        <v>60.3</v>
      </c>
      <c r="E35" s="32">
        <f t="shared" ref="E35:E44" si="50">D35-C35</f>
        <v>-0.10000000000000142</v>
      </c>
      <c r="F35" s="32">
        <v>11.4</v>
      </c>
      <c r="G35" s="32">
        <v>12.7</v>
      </c>
      <c r="H35" s="32">
        <f t="shared" ref="H35:H44" si="51">G35-F35</f>
        <v>1.2999999999999989</v>
      </c>
      <c r="I35" s="32">
        <v>2.92</v>
      </c>
      <c r="J35" s="32">
        <v>3</v>
      </c>
      <c r="K35" s="32">
        <f t="shared" ref="K35:K44" si="52">J35-I35</f>
        <v>8.0000000000000071E-2</v>
      </c>
      <c r="L35" s="28">
        <f t="shared" si="8"/>
        <v>2.7397260273972628</v>
      </c>
      <c r="M35" s="32">
        <v>154.5</v>
      </c>
      <c r="N35" s="32">
        <v>176.9</v>
      </c>
      <c r="O35" s="40">
        <f t="shared" ref="O35:O44" si="53">N35-M35</f>
        <v>22.400000000000006</v>
      </c>
      <c r="P35" s="30">
        <f t="shared" si="10"/>
        <v>14.498381877022656</v>
      </c>
      <c r="Q35" s="40">
        <v>78.5</v>
      </c>
      <c r="R35" s="32">
        <v>79</v>
      </c>
      <c r="S35" s="40">
        <f t="shared" ref="S35:S44" si="54">R35-Q35</f>
        <v>0.5</v>
      </c>
      <c r="T35" s="32">
        <v>148.19999999999999</v>
      </c>
      <c r="U35" s="32">
        <v>167.8</v>
      </c>
      <c r="V35" s="40">
        <f t="shared" ref="V35:V44" si="55">U35-T35</f>
        <v>19.600000000000023</v>
      </c>
      <c r="W35" s="32">
        <v>36.299999999999997</v>
      </c>
      <c r="X35" s="32">
        <v>37.799999999999997</v>
      </c>
      <c r="Y35" s="40">
        <f t="shared" ref="Y35:Y44" si="56">X35-W35</f>
        <v>1.5</v>
      </c>
      <c r="Z35" s="32">
        <v>6.2</v>
      </c>
      <c r="AA35" s="32">
        <v>9.1999999999999993</v>
      </c>
      <c r="AB35" s="40">
        <f t="shared" ref="AB35:AB44" si="57">AA35-Z35</f>
        <v>2.9999999999999991</v>
      </c>
      <c r="AC35" s="40">
        <v>31.6</v>
      </c>
      <c r="AD35" s="40">
        <v>32.799999999999997</v>
      </c>
      <c r="AE35" s="40">
        <f t="shared" si="41"/>
        <v>1.1999999999999957</v>
      </c>
      <c r="AF35" s="5">
        <v>141.56079854809437</v>
      </c>
      <c r="AG35" s="5">
        <v>200.09074410163339</v>
      </c>
      <c r="AH35" s="5">
        <f t="shared" si="42"/>
        <v>58.529945553539022</v>
      </c>
      <c r="AI35" s="5">
        <v>70.326678765880217</v>
      </c>
      <c r="AJ35" s="5">
        <v>80.308529945553531</v>
      </c>
      <c r="AK35" s="5">
        <f t="shared" si="43"/>
        <v>9.9818511796733134</v>
      </c>
      <c r="AL35" s="5">
        <v>117.05989110707803</v>
      </c>
      <c r="AM35" s="5">
        <v>146.55172413793102</v>
      </c>
      <c r="AN35" s="5">
        <f t="shared" si="44"/>
        <v>29.491833030852987</v>
      </c>
      <c r="AO35" s="5">
        <v>208856.64</v>
      </c>
      <c r="AP35" s="5">
        <v>1754.8425</v>
      </c>
      <c r="AQ35" s="5">
        <v>1668.235275</v>
      </c>
      <c r="AR35" s="5">
        <v>102.39</v>
      </c>
      <c r="AS35" s="5">
        <v>84.378889999999998</v>
      </c>
      <c r="AT35" s="5">
        <v>237.58250000000001</v>
      </c>
      <c r="AU35" s="5">
        <v>171.77666679999999</v>
      </c>
      <c r="AV35" s="5">
        <v>78.155000000000001</v>
      </c>
      <c r="AW35" s="5">
        <v>74.424166749999998</v>
      </c>
      <c r="AX35" s="5">
        <v>0.98250000000000004</v>
      </c>
      <c r="AY35" s="5">
        <v>20.3675</v>
      </c>
      <c r="AZ35" s="5">
        <v>6450.1332805423717</v>
      </c>
      <c r="BA35" s="5">
        <v>8897.2228726153844</v>
      </c>
      <c r="BB35" s="5">
        <f t="shared" si="45"/>
        <v>2447.0895920730127</v>
      </c>
      <c r="BC35" s="5">
        <v>59</v>
      </c>
      <c r="BD35" s="5">
        <v>65</v>
      </c>
      <c r="BE35" s="5">
        <v>5607.234954754098</v>
      </c>
      <c r="BF35" s="5">
        <v>5640.9860278857122</v>
      </c>
      <c r="BG35" s="5">
        <f t="shared" si="46"/>
        <v>33.751073131614248</v>
      </c>
      <c r="BH35" s="5">
        <v>61</v>
      </c>
      <c r="BI35" s="5">
        <v>35</v>
      </c>
      <c r="BJ35" s="5">
        <f t="shared" si="47"/>
        <v>6021.659964933332</v>
      </c>
      <c r="BK35" s="5">
        <f t="shared" si="48"/>
        <v>7757.539976959999</v>
      </c>
      <c r="BL35" s="5">
        <f t="shared" si="49"/>
        <v>1735.8800120266669</v>
      </c>
      <c r="BM35" s="5">
        <v>77.005196853508281</v>
      </c>
      <c r="BN35" s="5">
        <v>85.182831591584971</v>
      </c>
      <c r="BO35" s="5">
        <v>2.2033898305084745</v>
      </c>
      <c r="BP35" s="5">
        <v>1</v>
      </c>
      <c r="BQ35" s="5">
        <v>2927.3681811692304</v>
      </c>
      <c r="BR35" s="5">
        <v>8897.2228726153844</v>
      </c>
      <c r="BS35" s="5">
        <v>72.011183039999423</v>
      </c>
      <c r="BT35" s="5">
        <v>69.675918730664165</v>
      </c>
      <c r="BU35" s="5">
        <v>1.459016393442623</v>
      </c>
      <c r="BV35" s="5">
        <v>0.65714285714285714</v>
      </c>
      <c r="BW35" s="5">
        <v>3843.1610364044941</v>
      </c>
      <c r="BX35" s="5">
        <v>8584.1091728695628</v>
      </c>
    </row>
    <row r="36" spans="1:76" x14ac:dyDescent="0.25">
      <c r="A36" s="39" t="s">
        <v>6</v>
      </c>
      <c r="B36" s="32" t="s">
        <v>5</v>
      </c>
      <c r="C36" s="32">
        <v>49</v>
      </c>
      <c r="D36" s="32">
        <v>53.3</v>
      </c>
      <c r="E36" s="32">
        <f t="shared" si="50"/>
        <v>4.2999999999999972</v>
      </c>
      <c r="F36" s="32">
        <v>17.899999999999999</v>
      </c>
      <c r="G36" s="32">
        <v>17.600000000000001</v>
      </c>
      <c r="H36" s="32">
        <f t="shared" si="51"/>
        <v>-0.29999999999999716</v>
      </c>
      <c r="I36" s="32">
        <v>2.02</v>
      </c>
      <c r="J36" s="32">
        <v>2.15</v>
      </c>
      <c r="K36" s="32">
        <f t="shared" si="52"/>
        <v>0.12999999999999989</v>
      </c>
      <c r="L36" s="28">
        <f t="shared" si="8"/>
        <v>6.4356435643564307</v>
      </c>
      <c r="M36" s="32">
        <v>126.5</v>
      </c>
      <c r="N36" s="32">
        <v>138.69999999999999</v>
      </c>
      <c r="O36" s="40">
        <f t="shared" si="53"/>
        <v>12.199999999999989</v>
      </c>
      <c r="P36" s="30">
        <f t="shared" si="10"/>
        <v>9.6442687747035496</v>
      </c>
      <c r="Q36" s="40">
        <v>75.7</v>
      </c>
      <c r="R36" s="32">
        <v>76.8</v>
      </c>
      <c r="S36" s="40">
        <f t="shared" si="54"/>
        <v>1.0999999999999943</v>
      </c>
      <c r="T36" s="32">
        <v>120.8</v>
      </c>
      <c r="U36" s="32">
        <v>131.69999999999999</v>
      </c>
      <c r="V36" s="40">
        <f t="shared" si="55"/>
        <v>10.899999999999991</v>
      </c>
      <c r="W36" s="32">
        <v>48.6</v>
      </c>
      <c r="X36" s="32">
        <v>48</v>
      </c>
      <c r="Y36" s="40">
        <f t="shared" si="56"/>
        <v>-0.60000000000000142</v>
      </c>
      <c r="Z36" s="32">
        <v>5.7</v>
      </c>
      <c r="AA36" s="32">
        <v>7</v>
      </c>
      <c r="AB36" s="40">
        <f t="shared" si="57"/>
        <v>1.2999999999999998</v>
      </c>
      <c r="AC36" s="40">
        <v>44.5</v>
      </c>
      <c r="AD36" s="40">
        <v>43.9</v>
      </c>
      <c r="AE36" s="40">
        <f t="shared" si="41"/>
        <v>-0.60000000000000142</v>
      </c>
      <c r="AF36" s="5">
        <v>131.57894736842104</v>
      </c>
      <c r="AG36" s="5">
        <v>168.33030852994554</v>
      </c>
      <c r="AH36" s="5">
        <f t="shared" si="42"/>
        <v>36.7513611615245</v>
      </c>
      <c r="AI36" s="5">
        <v>65.78947368421052</v>
      </c>
      <c r="AJ36" s="5">
        <v>81.215970961887464</v>
      </c>
      <c r="AK36" s="5">
        <f t="shared" si="43"/>
        <v>15.426497277676944</v>
      </c>
      <c r="AL36" s="5">
        <v>90.290381125226858</v>
      </c>
      <c r="AM36" s="5">
        <v>138.38475499092559</v>
      </c>
      <c r="AN36" s="5">
        <f t="shared" si="44"/>
        <v>48.094373865698728</v>
      </c>
      <c r="AO36" s="5">
        <v>171667.51</v>
      </c>
      <c r="AP36" s="5">
        <v>1062.48</v>
      </c>
      <c r="AQ36" s="5">
        <v>2077.7502749999999</v>
      </c>
      <c r="AR36" s="5">
        <v>28.3675</v>
      </c>
      <c r="AS36" s="5">
        <v>91.536389999999997</v>
      </c>
      <c r="AT36" s="5">
        <v>138.5975</v>
      </c>
      <c r="AU36" s="5">
        <v>198.6966668</v>
      </c>
      <c r="AV36" s="5">
        <v>256.83</v>
      </c>
      <c r="AW36" s="5">
        <v>83.379166749999996</v>
      </c>
      <c r="AX36" s="5">
        <v>5.9474999999999998</v>
      </c>
      <c r="AY36" s="5">
        <v>10.32</v>
      </c>
      <c r="AZ36" s="5">
        <v>4845.868410234234</v>
      </c>
      <c r="BA36" s="5">
        <v>6591.1809180377368</v>
      </c>
      <c r="BB36" s="5">
        <f t="shared" si="45"/>
        <v>1745.3125078035027</v>
      </c>
      <c r="BC36" s="5">
        <v>111</v>
      </c>
      <c r="BD36" s="5">
        <v>106</v>
      </c>
      <c r="BE36" s="5">
        <v>3469.9080434626858</v>
      </c>
      <c r="BF36" s="5">
        <v>3631.8577309090906</v>
      </c>
      <c r="BG36" s="5">
        <f t="shared" si="46"/>
        <v>161.94968744640482</v>
      </c>
      <c r="BH36" s="5">
        <v>67</v>
      </c>
      <c r="BI36" s="5">
        <v>22</v>
      </c>
      <c r="BJ36" s="5">
        <f t="shared" si="47"/>
        <v>4327.9507440898869</v>
      </c>
      <c r="BK36" s="5">
        <f t="shared" si="48"/>
        <v>6082.5472452500007</v>
      </c>
      <c r="BL36" s="5">
        <f t="shared" si="49"/>
        <v>1754.5965011601138</v>
      </c>
      <c r="BM36" s="5">
        <v>65.599970071964051</v>
      </c>
      <c r="BN36" s="5">
        <v>78.914122310168082</v>
      </c>
      <c r="BO36" s="5">
        <v>0.77477477477477474</v>
      </c>
      <c r="BP36" s="5">
        <v>0.56603773584905659</v>
      </c>
      <c r="BQ36" s="5">
        <v>6254.5510876279068</v>
      </c>
      <c r="BR36" s="5">
        <v>11644.419621866669</v>
      </c>
      <c r="BS36" s="5">
        <v>56.779944771640508</v>
      </c>
      <c r="BT36" s="5">
        <v>57.879087613735123</v>
      </c>
      <c r="BU36" s="5">
        <v>0.32835820895522388</v>
      </c>
      <c r="BV36" s="5">
        <v>0.68181818181818177</v>
      </c>
      <c r="BW36" s="5">
        <v>10567.447223272724</v>
      </c>
      <c r="BX36" s="5">
        <v>5326.7246720000003</v>
      </c>
    </row>
    <row r="37" spans="1:76" x14ac:dyDescent="0.25">
      <c r="A37" s="39" t="s">
        <v>15</v>
      </c>
      <c r="B37" s="32" t="s">
        <v>5</v>
      </c>
      <c r="C37" s="32">
        <v>69.400000000000006</v>
      </c>
      <c r="D37" s="32">
        <v>72.5</v>
      </c>
      <c r="E37" s="32">
        <f t="shared" si="50"/>
        <v>3.0999999999999943</v>
      </c>
      <c r="F37" s="32">
        <v>17.100000000000001</v>
      </c>
      <c r="G37" s="32">
        <v>12.2</v>
      </c>
      <c r="H37" s="32">
        <f t="shared" si="51"/>
        <v>-4.9000000000000021</v>
      </c>
      <c r="I37" s="32">
        <v>2.1800000000000002</v>
      </c>
      <c r="J37" s="32">
        <v>2.75</v>
      </c>
      <c r="K37" s="32">
        <f t="shared" si="52"/>
        <v>0.56999999999999984</v>
      </c>
      <c r="L37" s="28">
        <f t="shared" si="8"/>
        <v>26.14678899082568</v>
      </c>
      <c r="M37" s="32">
        <v>198.6</v>
      </c>
      <c r="N37" s="32">
        <v>219.7</v>
      </c>
      <c r="O37" s="40">
        <f t="shared" si="53"/>
        <v>21.099999999999994</v>
      </c>
      <c r="P37" s="30">
        <f t="shared" si="10"/>
        <v>10.624370594159112</v>
      </c>
      <c r="Q37" s="40">
        <v>78.900000000000006</v>
      </c>
      <c r="R37" s="32">
        <v>81</v>
      </c>
      <c r="S37" s="40">
        <f t="shared" si="54"/>
        <v>2.0999999999999943</v>
      </c>
      <c r="T37" s="32">
        <v>183</v>
      </c>
      <c r="U37" s="32">
        <v>201.9</v>
      </c>
      <c r="V37" s="40">
        <f t="shared" si="55"/>
        <v>18.900000000000006</v>
      </c>
      <c r="W37" s="32">
        <v>57.1</v>
      </c>
      <c r="X37" s="32">
        <v>45.6</v>
      </c>
      <c r="Y37" s="40">
        <f t="shared" si="56"/>
        <v>-11.5</v>
      </c>
      <c r="Z37" s="32">
        <v>15.6</v>
      </c>
      <c r="AA37" s="32">
        <v>17.899999999999999</v>
      </c>
      <c r="AB37" s="40">
        <f t="shared" si="57"/>
        <v>2.2999999999999989</v>
      </c>
      <c r="AC37" s="40">
        <v>51.3</v>
      </c>
      <c r="AD37" s="40">
        <v>39.6</v>
      </c>
      <c r="AE37" s="40">
        <f t="shared" si="41"/>
        <v>-11.699999999999996</v>
      </c>
      <c r="AF37" s="5">
        <v>291.28856624319417</v>
      </c>
      <c r="AG37" s="5">
        <v>375.68058076225043</v>
      </c>
      <c r="AH37" s="5">
        <f t="shared" si="42"/>
        <v>84.392014519056261</v>
      </c>
      <c r="AI37" s="5">
        <v>93.012704174228674</v>
      </c>
      <c r="AJ37" s="5">
        <v>99.818511796733205</v>
      </c>
      <c r="AK37" s="5">
        <f t="shared" si="43"/>
        <v>6.8058076225045312</v>
      </c>
      <c r="AL37" s="5">
        <v>134.30127041742287</v>
      </c>
      <c r="AM37" s="5">
        <v>190.10889292196006</v>
      </c>
      <c r="AN37" s="5">
        <f t="shared" si="44"/>
        <v>55.807622504537193</v>
      </c>
      <c r="AO37" s="5">
        <v>349269</v>
      </c>
      <c r="AP37" s="5">
        <v>2939.25</v>
      </c>
      <c r="AQ37" s="5">
        <v>3604.7402750000001</v>
      </c>
      <c r="AR37" s="5">
        <v>156.8475</v>
      </c>
      <c r="AS37" s="5">
        <v>240.64139</v>
      </c>
      <c r="AT37" s="5">
        <v>374.07</v>
      </c>
      <c r="AU37" s="5">
        <v>481.1416668</v>
      </c>
      <c r="AV37" s="5">
        <v>902.13250000000005</v>
      </c>
      <c r="AW37" s="5">
        <v>157.24916680000001</v>
      </c>
      <c r="AX37" s="5">
        <v>37.922499999999999</v>
      </c>
      <c r="AY37" s="5">
        <v>63.27</v>
      </c>
      <c r="AZ37" s="5">
        <v>9434.5808383333315</v>
      </c>
      <c r="BA37" s="5">
        <v>7173.3851751428547</v>
      </c>
      <c r="BB37" s="5">
        <f t="shared" si="45"/>
        <v>-2261.1956631904768</v>
      </c>
      <c r="BC37" s="5">
        <v>48</v>
      </c>
      <c r="BD37" s="5">
        <v>56</v>
      </c>
      <c r="BE37" s="5">
        <v>10377.831083294117</v>
      </c>
      <c r="BF37" s="5">
        <v>7929.3427816585345</v>
      </c>
      <c r="BG37" s="5">
        <f t="shared" si="46"/>
        <v>-2448.4883016355825</v>
      </c>
      <c r="BH37" s="5">
        <v>17</v>
      </c>
      <c r="BI37" s="5">
        <v>41</v>
      </c>
      <c r="BJ37" s="5">
        <f t="shared" si="47"/>
        <v>9681.2770562461519</v>
      </c>
      <c r="BK37" s="5">
        <f t="shared" si="48"/>
        <v>7492.9136479999979</v>
      </c>
      <c r="BL37" s="5">
        <f t="shared" si="49"/>
        <v>-2188.363408246154</v>
      </c>
      <c r="BM37" s="5">
        <v>80.802796772232512</v>
      </c>
      <c r="BN37" s="5">
        <v>80.745250435920454</v>
      </c>
      <c r="BO37" s="5">
        <v>1.1666666666666667</v>
      </c>
      <c r="BP37" s="5">
        <v>0.6428571428571429</v>
      </c>
      <c r="BQ37" s="5">
        <v>8086.7835757142839</v>
      </c>
      <c r="BR37" s="5">
        <v>11158.599161333328</v>
      </c>
      <c r="BS37" s="5">
        <v>89.264819295207403</v>
      </c>
      <c r="BT37" s="5">
        <v>85.215786917888877</v>
      </c>
      <c r="BU37" s="5">
        <v>0.76470588235294112</v>
      </c>
      <c r="BV37" s="5">
        <v>0.78048780487804881</v>
      </c>
      <c r="BW37" s="5">
        <v>13571.009878153845</v>
      </c>
      <c r="BX37" s="5">
        <v>10159.470438999997</v>
      </c>
    </row>
    <row r="38" spans="1:76" x14ac:dyDescent="0.25">
      <c r="A38" s="39" t="s">
        <v>17</v>
      </c>
      <c r="B38" s="32" t="s">
        <v>5</v>
      </c>
      <c r="C38" s="32">
        <v>58.3</v>
      </c>
      <c r="D38" s="32">
        <v>57.4</v>
      </c>
      <c r="E38" s="32">
        <f t="shared" si="50"/>
        <v>-0.89999999999999858</v>
      </c>
      <c r="F38" s="32">
        <v>11.2</v>
      </c>
      <c r="G38" s="32">
        <v>12.2</v>
      </c>
      <c r="H38" s="32">
        <f t="shared" si="51"/>
        <v>1</v>
      </c>
      <c r="I38" s="32">
        <v>2.2000000000000002</v>
      </c>
      <c r="J38" s="32">
        <v>2.2599999999999998</v>
      </c>
      <c r="K38" s="32">
        <f t="shared" si="52"/>
        <v>5.9999999999999609E-2</v>
      </c>
      <c r="L38" s="28">
        <f t="shared" si="8"/>
        <v>2.7272727272727093</v>
      </c>
      <c r="M38" s="32">
        <v>158.9</v>
      </c>
      <c r="N38" s="32">
        <v>168.1</v>
      </c>
      <c r="O38" s="40">
        <f t="shared" si="53"/>
        <v>9.1999999999999886</v>
      </c>
      <c r="P38" s="30">
        <f t="shared" si="10"/>
        <v>5.7898049087476329</v>
      </c>
      <c r="Q38" s="40">
        <v>79.3</v>
      </c>
      <c r="R38" s="32">
        <v>80.5</v>
      </c>
      <c r="S38" s="40">
        <f t="shared" si="54"/>
        <v>1.2000000000000028</v>
      </c>
      <c r="T38" s="32">
        <v>152.80000000000001</v>
      </c>
      <c r="U38" s="32">
        <v>159.9</v>
      </c>
      <c r="V38" s="40">
        <f t="shared" si="55"/>
        <v>7.0999999999999943</v>
      </c>
      <c r="W38" s="32">
        <v>37.200000000000003</v>
      </c>
      <c r="X38" s="32">
        <v>39</v>
      </c>
      <c r="Y38" s="40">
        <f t="shared" si="56"/>
        <v>1.7999999999999972</v>
      </c>
      <c r="Z38" s="32">
        <v>6.1</v>
      </c>
      <c r="AA38" s="32">
        <v>8.1</v>
      </c>
      <c r="AB38" s="40">
        <f t="shared" si="57"/>
        <v>2</v>
      </c>
      <c r="AC38" s="40">
        <v>32.9</v>
      </c>
      <c r="AD38" s="40">
        <v>34.4</v>
      </c>
      <c r="AE38" s="40">
        <f t="shared" si="41"/>
        <v>1.5</v>
      </c>
      <c r="AF38" s="5">
        <v>185.57168784029037</v>
      </c>
      <c r="AG38" s="5">
        <v>273.13974591651538</v>
      </c>
      <c r="AH38" s="5">
        <f t="shared" si="42"/>
        <v>87.568058076225014</v>
      </c>
      <c r="AI38" s="5">
        <v>75.771324863883848</v>
      </c>
      <c r="AJ38" s="5">
        <v>83.484573502722313</v>
      </c>
      <c r="AK38" s="5">
        <f t="shared" si="43"/>
        <v>7.7132486388384649</v>
      </c>
      <c r="AL38" s="5">
        <v>104.80943738656987</v>
      </c>
      <c r="AM38" s="5">
        <v>143.82940108892922</v>
      </c>
      <c r="AN38" s="5">
        <f t="shared" si="44"/>
        <v>39.019963702359348</v>
      </c>
      <c r="AO38" s="5">
        <v>242406.99</v>
      </c>
      <c r="AP38" s="5">
        <v>1750.0025000000001</v>
      </c>
      <c r="AQ38" s="5">
        <v>1983.462775</v>
      </c>
      <c r="AR38" s="5">
        <v>81.622500000000002</v>
      </c>
      <c r="AS38" s="5">
        <v>109.05389</v>
      </c>
      <c r="AT38" s="5">
        <v>224.6275</v>
      </c>
      <c r="AU38" s="5">
        <v>169.81166680000001</v>
      </c>
      <c r="AV38" s="5">
        <v>550.59</v>
      </c>
      <c r="AW38" s="5">
        <v>103.3991668</v>
      </c>
      <c r="AX38" s="5">
        <v>13.15</v>
      </c>
      <c r="AY38" s="5">
        <v>11.1425</v>
      </c>
      <c r="AZ38" s="5">
        <v>4796.4648676226425</v>
      </c>
      <c r="BA38" s="5">
        <v>4739.5741628333317</v>
      </c>
      <c r="BB38" s="5">
        <f t="shared" si="45"/>
        <v>-56.890704789310803</v>
      </c>
      <c r="BC38" s="5">
        <v>106</v>
      </c>
      <c r="BD38" s="5">
        <v>96</v>
      </c>
      <c r="BE38" s="5">
        <v>3938.885431876924</v>
      </c>
      <c r="BF38" s="5">
        <v>3389.0208184761909</v>
      </c>
      <c r="BG38" s="5">
        <f t="shared" si="46"/>
        <v>-549.86461340073311</v>
      </c>
      <c r="BH38" s="5">
        <v>65</v>
      </c>
      <c r="BI38" s="5">
        <v>84</v>
      </c>
      <c r="BJ38" s="5">
        <f t="shared" si="47"/>
        <v>4470.4843803508784</v>
      </c>
      <c r="BK38" s="5">
        <f t="shared" si="48"/>
        <v>4109.3159354666659</v>
      </c>
      <c r="BL38" s="5">
        <f t="shared" si="49"/>
        <v>-361.16844488421248</v>
      </c>
      <c r="BM38" s="5">
        <v>67.13679200346192</v>
      </c>
      <c r="BN38" s="5">
        <v>67.207504482472885</v>
      </c>
      <c r="BO38" s="5">
        <v>0.330188679245283</v>
      </c>
      <c r="BP38" s="5">
        <v>0.1875</v>
      </c>
      <c r="BQ38" s="5">
        <v>14526.436456228575</v>
      </c>
      <c r="BR38" s="5">
        <v>25277.728868444436</v>
      </c>
      <c r="BS38" s="5">
        <v>59.164776595940332</v>
      </c>
      <c r="BT38" s="5">
        <v>54.658702252244225</v>
      </c>
      <c r="BU38" s="5">
        <v>0.16923076923076924</v>
      </c>
      <c r="BV38" s="5">
        <v>0.39285714285714285</v>
      </c>
      <c r="BW38" s="5">
        <v>23275.232097454551</v>
      </c>
      <c r="BX38" s="5">
        <v>8626.5984470303047</v>
      </c>
    </row>
    <row r="39" spans="1:76" x14ac:dyDescent="0.25">
      <c r="A39" s="39" t="s">
        <v>36</v>
      </c>
      <c r="B39" s="32" t="s">
        <v>5</v>
      </c>
      <c r="C39" s="32">
        <v>59.7</v>
      </c>
      <c r="D39" s="32">
        <v>61.8</v>
      </c>
      <c r="E39" s="32">
        <f t="shared" si="50"/>
        <v>2.0999999999999943</v>
      </c>
      <c r="F39" s="32">
        <v>16.2</v>
      </c>
      <c r="G39" s="32">
        <v>19.7</v>
      </c>
      <c r="H39" s="32">
        <f t="shared" si="51"/>
        <v>3.5</v>
      </c>
      <c r="I39" s="32">
        <v>2.2200000000000002</v>
      </c>
      <c r="J39" s="32">
        <v>2.41</v>
      </c>
      <c r="K39" s="32">
        <f t="shared" si="52"/>
        <v>0.18999999999999995</v>
      </c>
      <c r="L39" s="28">
        <f t="shared" si="8"/>
        <v>8.5585585585585555</v>
      </c>
      <c r="M39" s="32">
        <v>166.4</v>
      </c>
      <c r="N39" s="32">
        <v>191.8</v>
      </c>
      <c r="O39" s="40">
        <f t="shared" si="53"/>
        <v>25.400000000000006</v>
      </c>
      <c r="P39" s="30">
        <f t="shared" si="10"/>
        <v>15.26442307692308</v>
      </c>
      <c r="Q39" s="40">
        <v>79.3</v>
      </c>
      <c r="R39" s="32">
        <v>80</v>
      </c>
      <c r="S39" s="40">
        <f t="shared" si="54"/>
        <v>0.70000000000000284</v>
      </c>
      <c r="T39" s="32">
        <v>158.5</v>
      </c>
      <c r="U39" s="32">
        <v>180.1</v>
      </c>
      <c r="V39" s="40">
        <f t="shared" si="55"/>
        <v>21.599999999999994</v>
      </c>
      <c r="W39" s="32">
        <v>48.9</v>
      </c>
      <c r="X39" s="32">
        <v>57.7</v>
      </c>
      <c r="Y39" s="40">
        <f t="shared" si="56"/>
        <v>8.8000000000000043</v>
      </c>
      <c r="Z39" s="32">
        <v>7.9</v>
      </c>
      <c r="AA39" s="32">
        <v>11.7</v>
      </c>
      <c r="AB39" s="40">
        <f t="shared" si="57"/>
        <v>3.7999999999999989</v>
      </c>
      <c r="AC39" s="40">
        <v>44.2</v>
      </c>
      <c r="AD39" s="40">
        <v>52.2</v>
      </c>
      <c r="AE39" s="40">
        <f t="shared" si="41"/>
        <v>8</v>
      </c>
      <c r="AF39" s="5">
        <v>172.41379310344826</v>
      </c>
      <c r="AG39" s="5">
        <v>226.86025408348456</v>
      </c>
      <c r="AH39" s="5">
        <f t="shared" si="42"/>
        <v>54.446460980036306</v>
      </c>
      <c r="AI39" s="5">
        <v>99.818511796733205</v>
      </c>
      <c r="AJ39" s="5">
        <v>114.79128856624318</v>
      </c>
      <c r="AK39" s="5">
        <f t="shared" si="43"/>
        <v>14.972776769509977</v>
      </c>
      <c r="AL39" s="5">
        <v>115.69872958257713</v>
      </c>
      <c r="AM39" s="5">
        <v>147.45916515426495</v>
      </c>
      <c r="AN39" s="5">
        <f t="shared" si="44"/>
        <v>31.760435571687822</v>
      </c>
      <c r="AO39" s="5">
        <v>281749.13</v>
      </c>
      <c r="AP39" s="5">
        <v>1678.37</v>
      </c>
      <c r="AQ39" s="5">
        <v>2410.1802750000002</v>
      </c>
      <c r="AR39" s="5">
        <v>105.1425</v>
      </c>
      <c r="AS39" s="5">
        <v>164.16389000000001</v>
      </c>
      <c r="AT39" s="5">
        <v>134.36250000000001</v>
      </c>
      <c r="AU39" s="5">
        <v>187.58416679999999</v>
      </c>
      <c r="AV39" s="5">
        <v>80.364999999999995</v>
      </c>
      <c r="AW39" s="5">
        <v>110.4966668</v>
      </c>
      <c r="AX39" s="5">
        <v>10.0025</v>
      </c>
      <c r="AY39" s="5">
        <v>12.237500000000001</v>
      </c>
      <c r="AZ39" s="5">
        <v>5194.1864113777765</v>
      </c>
      <c r="BA39" s="5">
        <v>5840.273353939393</v>
      </c>
      <c r="BB39" s="5">
        <f t="shared" si="45"/>
        <v>646.08694256161652</v>
      </c>
      <c r="BC39" s="5">
        <v>90</v>
      </c>
      <c r="BD39" s="5">
        <v>66</v>
      </c>
      <c r="BE39" s="5">
        <v>3851.421940487804</v>
      </c>
      <c r="BF39" s="5">
        <v>4778.2473730731717</v>
      </c>
      <c r="BG39" s="5">
        <f t="shared" si="46"/>
        <v>926.82543258536771</v>
      </c>
      <c r="BH39" s="5">
        <v>82</v>
      </c>
      <c r="BI39" s="5">
        <v>82</v>
      </c>
      <c r="BJ39" s="5">
        <f t="shared" si="47"/>
        <v>4554.031256651162</v>
      </c>
      <c r="BK39" s="5">
        <f t="shared" si="48"/>
        <v>5251.8535537297294</v>
      </c>
      <c r="BL39" s="5">
        <f t="shared" si="49"/>
        <v>697.82229707856732</v>
      </c>
      <c r="BM39" s="5">
        <v>68.974153987624206</v>
      </c>
      <c r="BN39" s="5">
        <v>76.311184024227899</v>
      </c>
      <c r="BO39" s="5">
        <v>0.6333333333333333</v>
      </c>
      <c r="BP39" s="5">
        <v>0.48484848484848486</v>
      </c>
      <c r="BQ39" s="5">
        <v>8201.3469653333323</v>
      </c>
      <c r="BR39" s="5">
        <v>12045.563792499997</v>
      </c>
      <c r="BS39" s="5">
        <v>59.44834811672235</v>
      </c>
      <c r="BT39" s="5">
        <v>69.524007545124149</v>
      </c>
      <c r="BU39" s="5">
        <v>0.40243902439024393</v>
      </c>
      <c r="BV39" s="5">
        <v>0.59756097560975607</v>
      </c>
      <c r="BW39" s="5">
        <v>9570.1999733333305</v>
      </c>
      <c r="BX39" s="5">
        <v>7996.2507059591853</v>
      </c>
    </row>
    <row r="40" spans="1:76" x14ac:dyDescent="0.25">
      <c r="A40" s="39" t="s">
        <v>19</v>
      </c>
      <c r="B40" s="32" t="s">
        <v>5</v>
      </c>
      <c r="C40" s="32">
        <v>54.4</v>
      </c>
      <c r="D40" s="32">
        <v>56.7</v>
      </c>
      <c r="E40" s="32">
        <f t="shared" si="50"/>
        <v>2.3000000000000043</v>
      </c>
      <c r="F40" s="32">
        <v>19.7</v>
      </c>
      <c r="G40" s="32">
        <v>20.9</v>
      </c>
      <c r="H40" s="32">
        <f t="shared" si="51"/>
        <v>1.1999999999999993</v>
      </c>
      <c r="I40" s="32">
        <v>2.34</v>
      </c>
      <c r="J40" s="32">
        <v>2.6</v>
      </c>
      <c r="K40" s="32">
        <f t="shared" si="52"/>
        <v>0.26000000000000023</v>
      </c>
      <c r="L40" s="28">
        <f t="shared" si="8"/>
        <v>11.111111111111121</v>
      </c>
      <c r="M40" s="32">
        <v>156</v>
      </c>
      <c r="N40" s="32">
        <v>177</v>
      </c>
      <c r="O40" s="40">
        <f t="shared" si="53"/>
        <v>21</v>
      </c>
      <c r="P40" s="30">
        <f t="shared" si="10"/>
        <v>13.461538461538462</v>
      </c>
      <c r="Q40" s="40">
        <v>76.599999999999994</v>
      </c>
      <c r="R40" s="32">
        <v>78.5</v>
      </c>
      <c r="S40" s="40">
        <f t="shared" si="54"/>
        <v>1.9000000000000057</v>
      </c>
      <c r="T40" s="32">
        <v>145.6</v>
      </c>
      <c r="U40" s="32">
        <v>165.3</v>
      </c>
      <c r="V40" s="40">
        <f t="shared" si="55"/>
        <v>19.700000000000017</v>
      </c>
      <c r="W40" s="32">
        <v>55.9</v>
      </c>
      <c r="X40" s="32">
        <v>57.6</v>
      </c>
      <c r="Y40" s="40">
        <f t="shared" si="56"/>
        <v>1.7000000000000028</v>
      </c>
      <c r="Z40" s="32">
        <v>10.4</v>
      </c>
      <c r="AA40" s="32">
        <v>11.7</v>
      </c>
      <c r="AB40" s="40">
        <f t="shared" si="57"/>
        <v>1.2999999999999989</v>
      </c>
      <c r="AC40" s="40">
        <v>50.7</v>
      </c>
      <c r="AD40" s="40">
        <v>52.4</v>
      </c>
      <c r="AE40" s="40">
        <f t="shared" si="41"/>
        <v>1.6999999999999957</v>
      </c>
      <c r="AF40" s="5">
        <v>219.60072595281304</v>
      </c>
      <c r="AG40" s="5">
        <v>329.40108892921955</v>
      </c>
      <c r="AH40" s="5">
        <f t="shared" si="42"/>
        <v>109.80036297640652</v>
      </c>
      <c r="AI40" s="5">
        <v>64.42831215970962</v>
      </c>
      <c r="AJ40" s="5">
        <v>80.308529945553531</v>
      </c>
      <c r="AK40" s="5">
        <f t="shared" si="43"/>
        <v>15.880217785843911</v>
      </c>
      <c r="AL40" s="5">
        <v>111.16152450090743</v>
      </c>
      <c r="AM40" s="5">
        <v>161.07078039927404</v>
      </c>
      <c r="AN40" s="5">
        <f t="shared" si="44"/>
        <v>49.909255898366609</v>
      </c>
      <c r="AO40" s="5">
        <v>253228.17</v>
      </c>
      <c r="AP40" s="5">
        <v>1950.24</v>
      </c>
      <c r="AQ40" s="5">
        <v>2188.5952750000001</v>
      </c>
      <c r="AR40" s="5">
        <v>110.58499999999999</v>
      </c>
      <c r="AS40" s="5">
        <v>113.24139</v>
      </c>
      <c r="AT40" s="5">
        <v>179.79750000000001</v>
      </c>
      <c r="AU40" s="5">
        <v>197.50166680000001</v>
      </c>
      <c r="AV40" s="5">
        <v>781.98</v>
      </c>
      <c r="AW40" s="5">
        <v>93.236666749999998</v>
      </c>
      <c r="AX40" s="5">
        <v>8.32</v>
      </c>
      <c r="AY40" s="5">
        <v>8.8825000000000003</v>
      </c>
      <c r="AZ40" s="5">
        <v>7307.8012037142844</v>
      </c>
      <c r="BA40" s="5">
        <v>6703.9699377230772</v>
      </c>
      <c r="BB40" s="5">
        <f t="shared" si="45"/>
        <v>-603.83126599120715</v>
      </c>
      <c r="BC40" s="5">
        <v>56</v>
      </c>
      <c r="BD40" s="5">
        <v>65</v>
      </c>
      <c r="BE40" s="5">
        <v>6632.3855519999979</v>
      </c>
      <c r="BF40" s="5">
        <v>6704.8368474181798</v>
      </c>
      <c r="BG40" s="5">
        <f t="shared" si="46"/>
        <v>72.451295418181871</v>
      </c>
      <c r="BH40" s="5">
        <v>46</v>
      </c>
      <c r="BI40" s="5">
        <v>55</v>
      </c>
      <c r="BJ40" s="5">
        <f t="shared" si="47"/>
        <v>7003.2019882352915</v>
      </c>
      <c r="BK40" s="5">
        <f t="shared" si="48"/>
        <v>6704.3672713333326</v>
      </c>
      <c r="BL40" s="5">
        <f t="shared" si="49"/>
        <v>-298.83471690195893</v>
      </c>
      <c r="BM40" s="5">
        <v>75.206994920340122</v>
      </c>
      <c r="BN40" s="5">
        <v>78.947591984576235</v>
      </c>
      <c r="BO40" s="5">
        <v>5.3571428571428568E-2</v>
      </c>
      <c r="BP40" s="5">
        <v>0.30769230769230771</v>
      </c>
      <c r="BQ40" s="5">
        <v>136412.28913599998</v>
      </c>
      <c r="BR40" s="5">
        <v>21787.902297600001</v>
      </c>
      <c r="BS40" s="5">
        <v>72.330349748714426</v>
      </c>
      <c r="BT40" s="5">
        <v>77.764227868130234</v>
      </c>
      <c r="BU40" s="5">
        <v>0.10869565217391304</v>
      </c>
      <c r="BV40" s="5">
        <v>0.21818181818181817</v>
      </c>
      <c r="BW40" s="5">
        <v>61017.947078399986</v>
      </c>
      <c r="BX40" s="5">
        <v>30730.502217333327</v>
      </c>
    </row>
    <row r="41" spans="1:76" x14ac:dyDescent="0.25">
      <c r="A41" s="39" t="s">
        <v>20</v>
      </c>
      <c r="B41" s="32" t="s">
        <v>5</v>
      </c>
      <c r="C41" s="32">
        <v>47.7</v>
      </c>
      <c r="D41" s="32">
        <v>50.7</v>
      </c>
      <c r="E41" s="32">
        <f t="shared" si="50"/>
        <v>3</v>
      </c>
      <c r="F41" s="32">
        <v>13.2</v>
      </c>
      <c r="G41" s="32">
        <v>16.8</v>
      </c>
      <c r="H41" s="32">
        <f t="shared" si="51"/>
        <v>3.6000000000000014</v>
      </c>
      <c r="I41" s="32">
        <v>1.02</v>
      </c>
      <c r="J41" s="32">
        <v>1.08</v>
      </c>
      <c r="K41" s="32">
        <f t="shared" si="52"/>
        <v>6.0000000000000053E-2</v>
      </c>
      <c r="L41" s="28">
        <f t="shared" si="8"/>
        <v>5.8823529411764754</v>
      </c>
      <c r="M41" s="32">
        <v>122.4</v>
      </c>
      <c r="N41" s="32">
        <v>135.6</v>
      </c>
      <c r="O41" s="40">
        <f t="shared" si="53"/>
        <v>13.199999999999989</v>
      </c>
      <c r="P41" s="30">
        <f t="shared" si="10"/>
        <v>10.784313725490186</v>
      </c>
      <c r="Q41" s="40">
        <v>77.5</v>
      </c>
      <c r="R41" s="32">
        <v>78.7</v>
      </c>
      <c r="S41" s="40">
        <f t="shared" si="54"/>
        <v>1.2000000000000028</v>
      </c>
      <c r="T41" s="32">
        <v>116.6</v>
      </c>
      <c r="U41" s="32">
        <v>127.5</v>
      </c>
      <c r="V41" s="40">
        <f t="shared" si="55"/>
        <v>10.900000000000006</v>
      </c>
      <c r="W41" s="32">
        <v>56.5</v>
      </c>
      <c r="X41" s="32">
        <v>55.8</v>
      </c>
      <c r="Y41" s="40">
        <f t="shared" si="56"/>
        <v>-0.70000000000000284</v>
      </c>
      <c r="Z41" s="32">
        <v>5.8</v>
      </c>
      <c r="AA41" s="32">
        <v>8.1</v>
      </c>
      <c r="AB41" s="40">
        <f t="shared" si="57"/>
        <v>2.2999999999999998</v>
      </c>
      <c r="AC41" s="40">
        <v>52.6</v>
      </c>
      <c r="AD41" s="40">
        <v>51.4</v>
      </c>
      <c r="AE41" s="40">
        <f t="shared" si="41"/>
        <v>-1.2000000000000028</v>
      </c>
      <c r="AF41" s="5">
        <v>99.818511796733205</v>
      </c>
      <c r="AG41" s="5">
        <v>214.60980036297639</v>
      </c>
      <c r="AH41" s="5">
        <f t="shared" si="42"/>
        <v>114.79128856624318</v>
      </c>
      <c r="AI41" s="5">
        <v>40.834845735027223</v>
      </c>
      <c r="AJ41" s="5">
        <v>47.640653357531754</v>
      </c>
      <c r="AK41" s="5">
        <f t="shared" si="43"/>
        <v>6.8058076225045312</v>
      </c>
      <c r="AL41" s="5">
        <v>99.818511796733205</v>
      </c>
      <c r="AM41" s="5">
        <v>139.29219600725952</v>
      </c>
      <c r="AN41" s="5">
        <f t="shared" si="44"/>
        <v>39.473684210526315</v>
      </c>
      <c r="AO41" s="5">
        <v>177180.01</v>
      </c>
      <c r="AP41" s="5">
        <v>4370.34</v>
      </c>
      <c r="AQ41" s="5">
        <v>2687.130275</v>
      </c>
      <c r="AR41" s="5">
        <v>211.64750000000001</v>
      </c>
      <c r="AS41" s="5">
        <v>125.35889</v>
      </c>
      <c r="AT41" s="5">
        <v>451.39749999999998</v>
      </c>
      <c r="AU41" s="5">
        <v>301.5791668</v>
      </c>
      <c r="AV41" s="5">
        <v>1817.5174999999999</v>
      </c>
      <c r="AW41" s="5">
        <v>105.3066668</v>
      </c>
      <c r="AX41" s="5">
        <v>19.422499999999999</v>
      </c>
      <c r="AY41" s="5">
        <v>13.6275</v>
      </c>
      <c r="AZ41" s="5">
        <v>3731.1843774426238</v>
      </c>
      <c r="BA41" s="5">
        <v>4189.3170568727273</v>
      </c>
      <c r="BB41" s="5">
        <f t="shared" si="45"/>
        <v>458.13267943010351</v>
      </c>
      <c r="BC41" s="5">
        <v>122</v>
      </c>
      <c r="BD41" s="5">
        <v>110</v>
      </c>
      <c r="BE41" s="5">
        <v>4631.7274260000004</v>
      </c>
      <c r="BF41" s="5">
        <v>4814.2097762807007</v>
      </c>
      <c r="BG41" s="5">
        <f t="shared" si="46"/>
        <v>182.4823502807003</v>
      </c>
      <c r="BH41" s="5">
        <v>48</v>
      </c>
      <c r="BI41" s="5">
        <v>57</v>
      </c>
      <c r="BJ41" s="5">
        <f t="shared" si="47"/>
        <v>3985.4553558588241</v>
      </c>
      <c r="BK41" s="5">
        <f t="shared" si="48"/>
        <v>4402.6037934371252</v>
      </c>
      <c r="BL41" s="5">
        <f t="shared" si="49"/>
        <v>417.14843757830113</v>
      </c>
      <c r="BM41" s="5">
        <v>58.940924007028272</v>
      </c>
      <c r="BN41" s="5">
        <v>64.974876398900435</v>
      </c>
      <c r="BO41" s="5">
        <v>0.37704918032786883</v>
      </c>
      <c r="BP41" s="5">
        <v>3.0545454545454547</v>
      </c>
      <c r="BQ41" s="5">
        <v>9895.749870608699</v>
      </c>
      <c r="BR41" s="5">
        <v>1371.5026079047618</v>
      </c>
      <c r="BS41" s="5">
        <v>66.151676945875394</v>
      </c>
      <c r="BT41" s="5">
        <v>69.580127329283414</v>
      </c>
      <c r="BU41" s="5">
        <v>0.47916666666666669</v>
      </c>
      <c r="BV41" s="5">
        <v>3.2280701754385963</v>
      </c>
      <c r="BW41" s="5">
        <v>9666.2137586086956</v>
      </c>
      <c r="BX41" s="5">
        <v>1491.3584633043477</v>
      </c>
    </row>
    <row r="42" spans="1:76" x14ac:dyDescent="0.25">
      <c r="A42" s="39" t="s">
        <v>37</v>
      </c>
      <c r="B42" s="32" t="s">
        <v>5</v>
      </c>
      <c r="C42" s="32">
        <v>62.5</v>
      </c>
      <c r="D42" s="32">
        <v>65.599999999999994</v>
      </c>
      <c r="E42" s="32">
        <f t="shared" si="50"/>
        <v>3.0999999999999943</v>
      </c>
      <c r="F42" s="32">
        <v>24.9</v>
      </c>
      <c r="G42" s="32">
        <v>22.5</v>
      </c>
      <c r="H42" s="32">
        <f t="shared" si="51"/>
        <v>-2.3999999999999986</v>
      </c>
      <c r="I42" s="32">
        <v>1.55</v>
      </c>
      <c r="J42" s="32">
        <v>2.16</v>
      </c>
      <c r="K42" s="32">
        <f t="shared" si="52"/>
        <v>0.6100000000000001</v>
      </c>
      <c r="L42" s="28">
        <f t="shared" si="8"/>
        <v>39.354838709677423</v>
      </c>
      <c r="M42" s="32">
        <v>167.5</v>
      </c>
      <c r="N42" s="32">
        <v>185.5</v>
      </c>
      <c r="O42" s="40">
        <f t="shared" si="53"/>
        <v>18</v>
      </c>
      <c r="P42" s="30">
        <f t="shared" si="10"/>
        <v>10.746268656716417</v>
      </c>
      <c r="Q42" s="40">
        <v>79</v>
      </c>
      <c r="R42" s="32">
        <v>79.5</v>
      </c>
      <c r="S42" s="40">
        <f t="shared" si="54"/>
        <v>0.5</v>
      </c>
      <c r="T42" s="32">
        <v>158.1</v>
      </c>
      <c r="U42" s="32">
        <v>174.3</v>
      </c>
      <c r="V42" s="40">
        <f t="shared" si="55"/>
        <v>16.200000000000017</v>
      </c>
      <c r="W42" s="32">
        <v>58.6</v>
      </c>
      <c r="X42" s="32">
        <v>54.1</v>
      </c>
      <c r="Y42" s="40">
        <f t="shared" si="56"/>
        <v>-4.5</v>
      </c>
      <c r="Z42" s="32">
        <v>9.4</v>
      </c>
      <c r="AA42" s="32">
        <v>11.2</v>
      </c>
      <c r="AB42" s="40">
        <f t="shared" si="57"/>
        <v>1.7999999999999989</v>
      </c>
      <c r="AC42" s="40">
        <v>53.3</v>
      </c>
      <c r="AD42" s="40">
        <v>48.8</v>
      </c>
      <c r="AE42" s="40">
        <f t="shared" si="41"/>
        <v>-4.5</v>
      </c>
      <c r="AF42" s="5">
        <v>156.07985480943736</v>
      </c>
      <c r="AG42" s="5">
        <v>281.76043557168782</v>
      </c>
      <c r="AH42" s="5">
        <f t="shared" si="42"/>
        <v>125.68058076225046</v>
      </c>
      <c r="AI42" s="5">
        <v>62.159709618874771</v>
      </c>
      <c r="AJ42" s="5">
        <v>65.78947368421052</v>
      </c>
      <c r="AK42" s="5">
        <f t="shared" si="43"/>
        <v>3.629764065335749</v>
      </c>
      <c r="AL42" s="5">
        <v>97.549909255898356</v>
      </c>
      <c r="AM42" s="5">
        <v>141.10707803992739</v>
      </c>
      <c r="AN42" s="5">
        <f t="shared" si="44"/>
        <v>43.557168784029031</v>
      </c>
      <c r="AO42" s="5">
        <v>203512.41</v>
      </c>
      <c r="AP42" s="5">
        <v>1663.98</v>
      </c>
      <c r="AQ42" s="5">
        <v>1430.985275</v>
      </c>
      <c r="AR42" s="5">
        <v>66.534999999999997</v>
      </c>
      <c r="AS42" s="5">
        <v>81.47139</v>
      </c>
      <c r="AT42" s="5">
        <v>184.565</v>
      </c>
      <c r="AU42" s="5">
        <v>116.2766668</v>
      </c>
      <c r="AV42" s="5">
        <v>656.20249999999999</v>
      </c>
      <c r="AW42" s="5">
        <v>66.786666749999995</v>
      </c>
      <c r="AX42" s="5">
        <v>13.977499999999999</v>
      </c>
      <c r="AY42" s="5">
        <v>5.4375</v>
      </c>
      <c r="AZ42" s="5">
        <v>6220.8587047441843</v>
      </c>
      <c r="BA42" s="5">
        <v>6454.5566815652182</v>
      </c>
      <c r="BB42" s="5">
        <f t="shared" si="45"/>
        <v>233.69797682103399</v>
      </c>
      <c r="BC42" s="5">
        <v>86</v>
      </c>
      <c r="BD42" s="5">
        <v>92</v>
      </c>
      <c r="BE42" s="5">
        <v>4835.6382007999991</v>
      </c>
      <c r="BF42" s="5">
        <v>4939.0533573333332</v>
      </c>
      <c r="BG42" s="5">
        <f t="shared" si="46"/>
        <v>103.41515653333408</v>
      </c>
      <c r="BH42" s="5">
        <v>40</v>
      </c>
      <c r="BI42" s="5">
        <v>30</v>
      </c>
      <c r="BJ42" s="5">
        <f t="shared" si="47"/>
        <v>5781.1061638095225</v>
      </c>
      <c r="BK42" s="5">
        <f t="shared" si="48"/>
        <v>6081.8919297049179</v>
      </c>
      <c r="BL42" s="5">
        <f t="shared" si="49"/>
        <v>300.78576589539534</v>
      </c>
      <c r="BM42" s="5">
        <v>72.590991919685479</v>
      </c>
      <c r="BN42" s="5">
        <v>76.195371808735302</v>
      </c>
      <c r="BO42" s="5">
        <v>0.7558139534883721</v>
      </c>
      <c r="BP42" s="5">
        <v>0.70652173913043481</v>
      </c>
      <c r="BQ42" s="5">
        <v>8230.6745939692282</v>
      </c>
      <c r="BR42" s="5">
        <v>9135.6802262153851</v>
      </c>
      <c r="BS42" s="5">
        <v>64.123324036684309</v>
      </c>
      <c r="BT42" s="5">
        <v>66.145207240537204</v>
      </c>
      <c r="BU42" s="5">
        <v>0.57499999999999996</v>
      </c>
      <c r="BV42" s="5">
        <v>0.46666666666666667</v>
      </c>
      <c r="BW42" s="5">
        <v>8409.8055666086948</v>
      </c>
      <c r="BX42" s="5">
        <v>10583.685765714285</v>
      </c>
    </row>
    <row r="43" spans="1:76" x14ac:dyDescent="0.25">
      <c r="A43" s="39" t="s">
        <v>21</v>
      </c>
      <c r="B43" s="32" t="s">
        <v>5</v>
      </c>
      <c r="C43" s="32">
        <v>60.1</v>
      </c>
      <c r="D43" s="32">
        <v>64.8</v>
      </c>
      <c r="E43" s="32">
        <f t="shared" si="50"/>
        <v>4.6999999999999957</v>
      </c>
      <c r="F43" s="32">
        <v>13.7</v>
      </c>
      <c r="G43" s="32">
        <v>15.1</v>
      </c>
      <c r="H43" s="32">
        <f t="shared" si="51"/>
        <v>1.4000000000000004</v>
      </c>
      <c r="I43" s="32">
        <v>1.36</v>
      </c>
      <c r="J43" s="32">
        <v>1.88</v>
      </c>
      <c r="K43" s="32">
        <f t="shared" si="52"/>
        <v>0.5199999999999998</v>
      </c>
      <c r="L43" s="28">
        <f t="shared" si="8"/>
        <v>38.235294117647037</v>
      </c>
      <c r="M43" s="32">
        <v>127.2</v>
      </c>
      <c r="N43" s="32">
        <v>155.19999999999999</v>
      </c>
      <c r="O43" s="40">
        <f t="shared" si="53"/>
        <v>27.999999999999986</v>
      </c>
      <c r="P43" s="30">
        <f t="shared" si="10"/>
        <v>22.01257861635219</v>
      </c>
      <c r="Q43" s="40">
        <v>78.5</v>
      </c>
      <c r="R43" s="32">
        <v>79.8</v>
      </c>
      <c r="S43" s="40">
        <f t="shared" si="54"/>
        <v>1.2999999999999972</v>
      </c>
      <c r="T43" s="32">
        <v>123.9</v>
      </c>
      <c r="U43" s="32">
        <v>149.5</v>
      </c>
      <c r="V43" s="40">
        <f t="shared" si="55"/>
        <v>25.599999999999994</v>
      </c>
      <c r="W43" s="32">
        <v>46</v>
      </c>
      <c r="X43" s="32">
        <v>46.5</v>
      </c>
      <c r="Y43" s="40">
        <f t="shared" si="56"/>
        <v>0.5</v>
      </c>
      <c r="Z43" s="32">
        <v>3.2</v>
      </c>
      <c r="AA43" s="32">
        <v>5.7</v>
      </c>
      <c r="AB43" s="40">
        <f t="shared" si="57"/>
        <v>2.5</v>
      </c>
      <c r="AC43" s="40">
        <v>42.2</v>
      </c>
      <c r="AD43" s="40">
        <v>42.1</v>
      </c>
      <c r="AE43" s="40">
        <f t="shared" si="41"/>
        <v>-0.10000000000000142</v>
      </c>
      <c r="AF43" s="5">
        <v>131.57894736842104</v>
      </c>
      <c r="AG43" s="5">
        <v>187.84029038112521</v>
      </c>
      <c r="AH43" s="5">
        <f t="shared" si="42"/>
        <v>56.261343012704174</v>
      </c>
      <c r="AI43" s="5">
        <v>73.956442831215966</v>
      </c>
      <c r="AJ43" s="5">
        <v>79.854809437386564</v>
      </c>
      <c r="AK43" s="5">
        <f t="shared" si="43"/>
        <v>5.8983666061705975</v>
      </c>
      <c r="AL43" s="5">
        <v>97.549909255898356</v>
      </c>
      <c r="AM43" s="5">
        <v>131.12522686025406</v>
      </c>
      <c r="AN43" s="5">
        <f t="shared" si="44"/>
        <v>33.575317604355703</v>
      </c>
      <c r="AO43" s="5">
        <v>195272.22</v>
      </c>
      <c r="AP43" s="5">
        <v>1706.42</v>
      </c>
      <c r="AQ43" s="5">
        <v>4315.4752749999998</v>
      </c>
      <c r="AR43" s="5">
        <v>50.982500000000002</v>
      </c>
      <c r="AS43" s="5">
        <v>178.04889</v>
      </c>
      <c r="AT43" s="5">
        <v>197.95249999999999</v>
      </c>
      <c r="AU43" s="5">
        <v>260.55166680000002</v>
      </c>
      <c r="AV43" s="5">
        <v>756.29750000000001</v>
      </c>
      <c r="AW43" s="5">
        <v>306.58916679999999</v>
      </c>
      <c r="AX43" s="5">
        <v>14.195</v>
      </c>
      <c r="AY43" s="5">
        <v>60.67</v>
      </c>
      <c r="AZ43" s="5">
        <v>3677.1841585035977</v>
      </c>
      <c r="BA43" s="5">
        <v>4841.109430999998</v>
      </c>
      <c r="BB43" s="5">
        <f t="shared" si="45"/>
        <v>1163.9252724964003</v>
      </c>
      <c r="BC43" s="5">
        <v>139</v>
      </c>
      <c r="BD43" s="5">
        <v>128</v>
      </c>
      <c r="BE43" s="5">
        <v>2889.9943980000007</v>
      </c>
      <c r="BF43" s="5">
        <v>3520.1732479999996</v>
      </c>
      <c r="BG43" s="5">
        <f t="shared" si="46"/>
        <v>630.17884999999887</v>
      </c>
      <c r="BH43" s="5">
        <v>48</v>
      </c>
      <c r="BI43" s="5">
        <v>37</v>
      </c>
      <c r="BJ43" s="5">
        <f t="shared" si="47"/>
        <v>3475.1247547379685</v>
      </c>
      <c r="BK43" s="5">
        <f t="shared" si="48"/>
        <v>4544.8994990545434</v>
      </c>
      <c r="BL43" s="5">
        <f t="shared" si="49"/>
        <v>1069.7747443165749</v>
      </c>
      <c r="BM43" s="5">
        <v>55.526753901802977</v>
      </c>
      <c r="BN43" s="5">
        <v>64.716148869523792</v>
      </c>
      <c r="BO43" s="5">
        <v>0.34532374100719426</v>
      </c>
      <c r="BP43" s="5">
        <v>0.421875</v>
      </c>
      <c r="BQ43" s="5">
        <v>10648.512459000001</v>
      </c>
      <c r="BR43" s="5">
        <v>11475.222354962958</v>
      </c>
      <c r="BS43" s="5">
        <v>48.847094986193675</v>
      </c>
      <c r="BT43" s="5">
        <v>55.285705946299117</v>
      </c>
      <c r="BU43" s="5">
        <v>0.35416666666666669</v>
      </c>
      <c r="BV43" s="5">
        <v>1</v>
      </c>
      <c r="BW43" s="5">
        <v>8159.9841825882368</v>
      </c>
      <c r="BX43" s="5">
        <v>3520.1732479999996</v>
      </c>
    </row>
    <row r="44" spans="1:76" s="48" customFormat="1" ht="15.75" thickBot="1" x14ac:dyDescent="0.3">
      <c r="A44" s="49" t="s">
        <v>25</v>
      </c>
      <c r="B44" s="46" t="s">
        <v>5</v>
      </c>
      <c r="C44" s="46">
        <v>46.3</v>
      </c>
      <c r="D44" s="46">
        <v>48</v>
      </c>
      <c r="E44" s="46">
        <f t="shared" si="50"/>
        <v>1.7000000000000028</v>
      </c>
      <c r="F44" s="46">
        <v>9.5</v>
      </c>
      <c r="G44" s="46">
        <v>8.1999999999999993</v>
      </c>
      <c r="H44" s="46">
        <f t="shared" si="51"/>
        <v>-1.3000000000000007</v>
      </c>
      <c r="I44" s="46">
        <v>2.35</v>
      </c>
      <c r="J44" s="46">
        <v>2.5299999999999998</v>
      </c>
      <c r="K44" s="46">
        <f t="shared" si="52"/>
        <v>0.17999999999999972</v>
      </c>
      <c r="L44" s="45">
        <f t="shared" si="8"/>
        <v>7.6595744680850935</v>
      </c>
      <c r="M44" s="46">
        <v>121.8</v>
      </c>
      <c r="N44" s="46">
        <v>135.30000000000001</v>
      </c>
      <c r="O44" s="50">
        <f t="shared" si="53"/>
        <v>13.500000000000014</v>
      </c>
      <c r="P44" s="47">
        <f t="shared" si="10"/>
        <v>11.083743842364543</v>
      </c>
      <c r="Q44" s="46">
        <v>78.8</v>
      </c>
      <c r="R44" s="46">
        <v>79.7</v>
      </c>
      <c r="S44" s="50">
        <f t="shared" si="54"/>
        <v>0.90000000000000568</v>
      </c>
      <c r="T44" s="46">
        <v>119.7</v>
      </c>
      <c r="U44" s="46">
        <v>132.6</v>
      </c>
      <c r="V44" s="50">
        <f t="shared" si="55"/>
        <v>12.899999999999991</v>
      </c>
      <c r="W44" s="46">
        <v>29.8</v>
      </c>
      <c r="X44" s="46">
        <v>29.1</v>
      </c>
      <c r="Y44" s="50">
        <f t="shared" si="56"/>
        <v>-0.69999999999999929</v>
      </c>
      <c r="Z44" s="46">
        <v>2.1</v>
      </c>
      <c r="AA44" s="46">
        <v>2.8</v>
      </c>
      <c r="AB44" s="50">
        <f t="shared" si="57"/>
        <v>0.69999999999999973</v>
      </c>
      <c r="AC44" s="50">
        <v>26.1</v>
      </c>
      <c r="AD44" s="50">
        <v>25.3</v>
      </c>
      <c r="AE44" s="50">
        <f t="shared" si="41"/>
        <v>-0.80000000000000071</v>
      </c>
      <c r="AF44" s="67">
        <v>105.26315789473684</v>
      </c>
      <c r="AG44" s="67">
        <v>185.57168784029037</v>
      </c>
      <c r="AH44" s="67">
        <f t="shared" si="42"/>
        <v>80.308529945553531</v>
      </c>
      <c r="AI44" s="67">
        <v>47.640653357531754</v>
      </c>
      <c r="AJ44" s="67">
        <v>64.42831215970962</v>
      </c>
      <c r="AK44" s="67">
        <f t="shared" si="43"/>
        <v>16.787658802177866</v>
      </c>
      <c r="AL44" s="67">
        <v>97.549909255898356</v>
      </c>
      <c r="AM44" s="67">
        <v>134.30127041742287</v>
      </c>
      <c r="AN44" s="67">
        <f t="shared" si="44"/>
        <v>36.751361161524514</v>
      </c>
      <c r="AO44" s="67">
        <v>172257.27</v>
      </c>
      <c r="AP44" s="67">
        <v>1985.4275</v>
      </c>
      <c r="AQ44" s="67">
        <v>1913.660275</v>
      </c>
      <c r="AR44" s="67">
        <v>108.7675</v>
      </c>
      <c r="AS44" s="67">
        <v>98.106390000000005</v>
      </c>
      <c r="AT44" s="67">
        <v>223.45500000000001</v>
      </c>
      <c r="AU44" s="67">
        <v>248.0141668</v>
      </c>
      <c r="AV44" s="67">
        <v>675.00750000000005</v>
      </c>
      <c r="AW44" s="67">
        <v>71.454166749999999</v>
      </c>
      <c r="AX44" s="67">
        <v>21.497499999999999</v>
      </c>
      <c r="AY44" s="67">
        <v>18.087499999999999</v>
      </c>
      <c r="AZ44" s="67">
        <v>5743.8183525517234</v>
      </c>
      <c r="BA44" s="67">
        <v>7526.1681479384624</v>
      </c>
      <c r="BB44" s="67">
        <f t="shared" si="45"/>
        <v>1782.3497953867391</v>
      </c>
      <c r="BC44" s="67">
        <v>58</v>
      </c>
      <c r="BD44" s="67">
        <v>65</v>
      </c>
      <c r="BE44" s="67">
        <v>5466.6943504761894</v>
      </c>
      <c r="BF44" s="67">
        <v>6251.2229112558143</v>
      </c>
      <c r="BG44" s="67">
        <f t="shared" si="46"/>
        <v>784.52856077962497</v>
      </c>
      <c r="BH44" s="67">
        <v>84</v>
      </c>
      <c r="BI44" s="67">
        <v>43</v>
      </c>
      <c r="BJ44" s="67">
        <f t="shared" si="47"/>
        <v>5579.8858442816891</v>
      </c>
      <c r="BK44" s="67">
        <f t="shared" si="48"/>
        <v>7018.5510629629634</v>
      </c>
      <c r="BL44" s="67">
        <f t="shared" si="49"/>
        <v>1438.6652186812744</v>
      </c>
      <c r="BM44" s="67">
        <v>73.427212082623385</v>
      </c>
      <c r="BN44" s="67">
        <v>76.084444098504648</v>
      </c>
      <c r="BO44" s="67">
        <v>0.7068965517241379</v>
      </c>
      <c r="BP44" s="67">
        <v>0.98461538461538467</v>
      </c>
      <c r="BQ44" s="67">
        <v>8125.4015719024383</v>
      </c>
      <c r="BR44" s="67">
        <v>7643.7645252500006</v>
      </c>
      <c r="BS44" s="67">
        <v>68.704571528370366</v>
      </c>
      <c r="BT44" s="67">
        <v>70.497567028768771</v>
      </c>
      <c r="BU44" s="67">
        <v>0.40476190476190477</v>
      </c>
      <c r="BV44" s="67">
        <v>0.81395348837209303</v>
      </c>
      <c r="BW44" s="67">
        <v>13505.950748235291</v>
      </c>
      <c r="BX44" s="67">
        <v>7680.0738624000005</v>
      </c>
    </row>
    <row r="45" spans="1:76" ht="15.75" thickTop="1" x14ac:dyDescent="0.25">
      <c r="A45" s="41" t="s">
        <v>27</v>
      </c>
      <c r="B45" s="32"/>
      <c r="C45" s="34">
        <f t="shared" ref="C45:BN45" si="58">AVERAGE(C33:C44)</f>
        <v>56.281818181818174</v>
      </c>
      <c r="D45" s="34">
        <f t="shared" si="58"/>
        <v>58.72727272727272</v>
      </c>
      <c r="E45" s="34">
        <f t="shared" si="58"/>
        <v>2.445454545454544</v>
      </c>
      <c r="F45" s="34">
        <f t="shared" si="58"/>
        <v>15.154545454545454</v>
      </c>
      <c r="G45" s="34">
        <f t="shared" si="58"/>
        <v>15.509090909090908</v>
      </c>
      <c r="H45" s="34">
        <f t="shared" si="58"/>
        <v>0.35454545454545455</v>
      </c>
      <c r="I45" s="34">
        <f t="shared" si="58"/>
        <v>2.0072727272727273</v>
      </c>
      <c r="J45" s="34">
        <f t="shared" si="58"/>
        <v>2.3027272727272727</v>
      </c>
      <c r="K45" s="34">
        <f t="shared" si="58"/>
        <v>0.29545454545454536</v>
      </c>
      <c r="L45" s="28"/>
      <c r="M45" s="34">
        <f t="shared" si="58"/>
        <v>149.66363636363639</v>
      </c>
      <c r="N45" s="34">
        <f t="shared" si="58"/>
        <v>167.58181818181816</v>
      </c>
      <c r="O45" s="34">
        <f t="shared" si="58"/>
        <v>17.918181818181814</v>
      </c>
      <c r="P45" s="34"/>
      <c r="Q45" s="34">
        <f t="shared" si="58"/>
        <v>78.127272727272725</v>
      </c>
      <c r="R45" s="34">
        <f t="shared" si="58"/>
        <v>79.254545454545465</v>
      </c>
      <c r="S45" s="34">
        <f t="shared" si="58"/>
        <v>1.1272727272727279</v>
      </c>
      <c r="T45" s="34">
        <f t="shared" si="58"/>
        <v>142.45454545454544</v>
      </c>
      <c r="U45" s="34">
        <f t="shared" si="58"/>
        <v>158.29999999999998</v>
      </c>
      <c r="V45" s="34">
        <f t="shared" si="58"/>
        <v>15.845454545454546</v>
      </c>
      <c r="W45" s="34">
        <f t="shared" si="58"/>
        <v>47.099999999999994</v>
      </c>
      <c r="X45" s="34">
        <f t="shared" si="58"/>
        <v>47</v>
      </c>
      <c r="Y45" s="34">
        <f t="shared" si="58"/>
        <v>-0.10000000000000045</v>
      </c>
      <c r="Z45" s="34">
        <f t="shared" si="58"/>
        <v>7.1909090909090914</v>
      </c>
      <c r="AA45" s="34">
        <f t="shared" si="58"/>
        <v>9.2999999999999989</v>
      </c>
      <c r="AB45" s="34">
        <f t="shared" si="58"/>
        <v>2.1090909090909085</v>
      </c>
      <c r="AC45" s="34">
        <f t="shared" si="58"/>
        <v>42.572727272727278</v>
      </c>
      <c r="AD45" s="34">
        <f t="shared" si="58"/>
        <v>42.199999999999996</v>
      </c>
      <c r="AE45" s="34">
        <f t="shared" si="58"/>
        <v>-0.37272727272727385</v>
      </c>
      <c r="AF45" s="34">
        <f t="shared" si="58"/>
        <v>159.70961887477313</v>
      </c>
      <c r="AG45" s="34">
        <f t="shared" si="58"/>
        <v>240.05939613925091</v>
      </c>
      <c r="AH45" s="34">
        <f t="shared" si="58"/>
        <v>80.349777264477794</v>
      </c>
      <c r="AI45" s="34">
        <f t="shared" si="58"/>
        <v>68.181818181818187</v>
      </c>
      <c r="AJ45" s="34">
        <f t="shared" si="58"/>
        <v>78.947368421052616</v>
      </c>
      <c r="AK45" s="34">
        <f t="shared" si="58"/>
        <v>10.765550239234445</v>
      </c>
      <c r="AL45" s="34">
        <f t="shared" si="58"/>
        <v>105.09816861903977</v>
      </c>
      <c r="AM45" s="34">
        <f t="shared" si="58"/>
        <v>146.1392509486883</v>
      </c>
      <c r="AN45" s="34">
        <f t="shared" si="58"/>
        <v>41.041082329648567</v>
      </c>
      <c r="AO45" s="34">
        <f t="shared" si="58"/>
        <v>223648.12454545454</v>
      </c>
      <c r="AP45" s="34">
        <f t="shared" si="58"/>
        <v>2041.3286363636364</v>
      </c>
      <c r="AQ45" s="34">
        <f t="shared" si="58"/>
        <v>2386.3255022727271</v>
      </c>
      <c r="AR45" s="34">
        <f t="shared" si="58"/>
        <v>97.04840909090909</v>
      </c>
      <c r="AS45" s="34">
        <f t="shared" si="58"/>
        <v>123.71957181818181</v>
      </c>
      <c r="AT45" s="34">
        <f t="shared" si="58"/>
        <v>221.54977272727274</v>
      </c>
      <c r="AU45" s="34">
        <f t="shared" si="58"/>
        <v>232.86757589090911</v>
      </c>
      <c r="AV45" s="34">
        <f t="shared" si="58"/>
        <v>601.12795454545449</v>
      </c>
      <c r="AW45" s="34">
        <f t="shared" si="58"/>
        <v>113.55325768181818</v>
      </c>
      <c r="AX45" s="34">
        <f t="shared" si="58"/>
        <v>14.43</v>
      </c>
      <c r="AY45" s="34">
        <f t="shared" si="58"/>
        <v>22.18090909090909</v>
      </c>
      <c r="AZ45" s="34">
        <f t="shared" si="58"/>
        <v>5495.5020253564608</v>
      </c>
      <c r="BA45" s="34">
        <f t="shared" si="58"/>
        <v>6256.6756751061994</v>
      </c>
      <c r="BB45" s="34">
        <f t="shared" si="58"/>
        <v>761.17364974973748</v>
      </c>
      <c r="BC45" s="34">
        <f t="shared" si="58"/>
        <v>93.272727272727266</v>
      </c>
      <c r="BD45" s="34">
        <f t="shared" si="58"/>
        <v>83</v>
      </c>
      <c r="BE45" s="34">
        <f t="shared" si="58"/>
        <v>4990.983317828247</v>
      </c>
      <c r="BF45" s="34">
        <f t="shared" si="58"/>
        <v>5193.5165231232031</v>
      </c>
      <c r="BG45" s="34">
        <f t="shared" si="58"/>
        <v>202.5332052949567</v>
      </c>
      <c r="BH45" s="34">
        <f t="shared" si="58"/>
        <v>57.363636363636367</v>
      </c>
      <c r="BI45" s="34">
        <f t="shared" si="58"/>
        <v>49.81818181818182</v>
      </c>
      <c r="BJ45" s="34">
        <f t="shared" si="58"/>
        <v>5270.7014603099078</v>
      </c>
      <c r="BK45" s="34">
        <f t="shared" si="58"/>
        <v>5922.4873507614057</v>
      </c>
      <c r="BL45" s="34">
        <f t="shared" si="58"/>
        <v>651.78589045149772</v>
      </c>
      <c r="BM45" s="34">
        <f t="shared" si="58"/>
        <v>67.847272172942851</v>
      </c>
      <c r="BN45" s="34">
        <f t="shared" si="58"/>
        <v>74.911444033386815</v>
      </c>
      <c r="BO45" s="34">
        <f t="shared" ref="BO45:BX45" si="59">AVERAGE(BO33:BO44)</f>
        <v>0.76604348530209354</v>
      </c>
      <c r="BP45" s="34">
        <f t="shared" si="59"/>
        <v>0.85343120450347876</v>
      </c>
      <c r="BQ45" s="34">
        <f t="shared" si="59"/>
        <v>19648.466401591326</v>
      </c>
      <c r="BR45" s="34">
        <f t="shared" si="59"/>
        <v>11466.045726939024</v>
      </c>
      <c r="BS45" s="34">
        <f t="shared" si="59"/>
        <v>64.677248935386018</v>
      </c>
      <c r="BT45" s="34">
        <f t="shared" si="59"/>
        <v>68.084296527794237</v>
      </c>
      <c r="BU45" s="34">
        <f t="shared" si="59"/>
        <v>0.67910897298977535</v>
      </c>
      <c r="BV45" s="34">
        <f t="shared" si="59"/>
        <v>0.88838390744844564</v>
      </c>
      <c r="BW45" s="34">
        <f t="shared" si="59"/>
        <v>14809.668395744013</v>
      </c>
      <c r="BX45" s="34">
        <f t="shared" si="59"/>
        <v>9146.3671478329761</v>
      </c>
    </row>
    <row r="46" spans="1:76" x14ac:dyDescent="0.25">
      <c r="A46" s="41" t="s">
        <v>44</v>
      </c>
      <c r="B46" s="32"/>
      <c r="C46" s="34">
        <f>STDEV(C33:C44)</f>
        <v>7.1604215213657403</v>
      </c>
      <c r="D46" s="34">
        <f t="shared" ref="D46:BO46" si="60">STDEV(D33:D44)</f>
        <v>7.1777560433733578</v>
      </c>
      <c r="E46" s="34">
        <f t="shared" si="60"/>
        <v>1.7142716449639102</v>
      </c>
      <c r="F46" s="34">
        <f t="shared" si="60"/>
        <v>4.541885871829817</v>
      </c>
      <c r="G46" s="34">
        <f t="shared" si="60"/>
        <v>4.3910031986903757</v>
      </c>
      <c r="H46" s="34">
        <f t="shared" si="60"/>
        <v>2.4921330768494836</v>
      </c>
      <c r="I46" s="34">
        <f t="shared" si="60"/>
        <v>0.52763796127820228</v>
      </c>
      <c r="J46" s="34">
        <f t="shared" si="60"/>
        <v>0.5099037342301177</v>
      </c>
      <c r="K46" s="34">
        <f t="shared" si="60"/>
        <v>0.228445338598258</v>
      </c>
      <c r="L46" s="28"/>
      <c r="M46" s="34">
        <f t="shared" si="60"/>
        <v>23.901308446495989</v>
      </c>
      <c r="N46" s="34">
        <f t="shared" si="60"/>
        <v>26.297939774127453</v>
      </c>
      <c r="O46" s="34">
        <f t="shared" si="60"/>
        <v>6.0912754299601621</v>
      </c>
      <c r="P46" s="34"/>
      <c r="Q46" s="34">
        <f t="shared" si="60"/>
        <v>1.189193768139498</v>
      </c>
      <c r="R46" s="34">
        <f t="shared" si="60"/>
        <v>1.1656445739277794</v>
      </c>
      <c r="S46" s="34">
        <f t="shared" si="60"/>
        <v>0.51203693048628574</v>
      </c>
      <c r="T46" s="34">
        <f t="shared" si="60"/>
        <v>20.74263067387384</v>
      </c>
      <c r="U46" s="34">
        <f t="shared" si="60"/>
        <v>22.860227470434374</v>
      </c>
      <c r="V46" s="34">
        <f t="shared" si="60"/>
        <v>5.7026947378171435</v>
      </c>
      <c r="W46" s="34">
        <f t="shared" si="60"/>
        <v>9.6638501644013957</v>
      </c>
      <c r="X46" s="34">
        <f t="shared" si="60"/>
        <v>9.1016482023862313</v>
      </c>
      <c r="Y46" s="34">
        <f t="shared" si="60"/>
        <v>4.9654808427784713</v>
      </c>
      <c r="Z46" s="34">
        <f t="shared" si="60"/>
        <v>3.6716357513932514</v>
      </c>
      <c r="AA46" s="34">
        <f t="shared" si="60"/>
        <v>3.9069169430639308</v>
      </c>
      <c r="AB46" s="34">
        <f t="shared" si="60"/>
        <v>0.85376172958799901</v>
      </c>
      <c r="AC46" s="34">
        <f t="shared" si="60"/>
        <v>9.2905426008485001</v>
      </c>
      <c r="AD46" s="34">
        <f t="shared" si="60"/>
        <v>8.8177094531403135</v>
      </c>
      <c r="AE46" s="34">
        <f t="shared" si="60"/>
        <v>4.8415061518273221</v>
      </c>
      <c r="AF46" s="34">
        <f t="shared" si="60"/>
        <v>56.236089994412161</v>
      </c>
      <c r="AG46" s="34">
        <f t="shared" si="60"/>
        <v>66.551520769328576</v>
      </c>
      <c r="AH46" s="34">
        <f t="shared" si="60"/>
        <v>27.982790376439002</v>
      </c>
      <c r="AI46" s="34">
        <f t="shared" si="60"/>
        <v>17.552699519715805</v>
      </c>
      <c r="AJ46" s="34">
        <f t="shared" si="60"/>
        <v>17.836468195684365</v>
      </c>
      <c r="AK46" s="34">
        <f t="shared" si="60"/>
        <v>4.8149598002604526</v>
      </c>
      <c r="AL46" s="34">
        <f t="shared" si="60"/>
        <v>13.350910372962987</v>
      </c>
      <c r="AM46" s="34">
        <f t="shared" si="60"/>
        <v>16.737865215035555</v>
      </c>
      <c r="AN46" s="34">
        <f t="shared" si="60"/>
        <v>8.1350546939132311</v>
      </c>
      <c r="AO46" s="34">
        <f t="shared" si="60"/>
        <v>54472.760944856476</v>
      </c>
      <c r="AP46" s="34">
        <f t="shared" si="60"/>
        <v>891.85910788949957</v>
      </c>
      <c r="AQ46" s="34">
        <f t="shared" si="60"/>
        <v>861.36037921015986</v>
      </c>
      <c r="AR46" s="34">
        <f t="shared" si="60"/>
        <v>52.799418122654629</v>
      </c>
      <c r="AS46" s="34">
        <f t="shared" si="60"/>
        <v>50.982424521727452</v>
      </c>
      <c r="AT46" s="34">
        <f t="shared" si="60"/>
        <v>105.66483508868106</v>
      </c>
      <c r="AU46" s="34">
        <f t="shared" si="60"/>
        <v>96.512093395547566</v>
      </c>
      <c r="AV46" s="34">
        <f t="shared" si="60"/>
        <v>509.60669671671587</v>
      </c>
      <c r="AW46" s="34">
        <f t="shared" si="60"/>
        <v>68.93464973250866</v>
      </c>
      <c r="AX46" s="34">
        <f t="shared" si="60"/>
        <v>9.6935147134566222</v>
      </c>
      <c r="AY46" s="34">
        <f t="shared" si="60"/>
        <v>20.215106581240406</v>
      </c>
      <c r="AZ46" s="34">
        <f t="shared" si="60"/>
        <v>1835.9891945038455</v>
      </c>
      <c r="BA46" s="34">
        <f t="shared" si="60"/>
        <v>1366.7650809465883</v>
      </c>
      <c r="BB46" s="34">
        <f t="shared" si="60"/>
        <v>1459.3778816544645</v>
      </c>
      <c r="BC46" s="34">
        <f t="shared" si="60"/>
        <v>35.561470467602746</v>
      </c>
      <c r="BD46" s="34">
        <f t="shared" si="60"/>
        <v>24.256957764732164</v>
      </c>
      <c r="BE46" s="34">
        <f t="shared" si="60"/>
        <v>2116.9740661591059</v>
      </c>
      <c r="BF46" s="34">
        <f t="shared" si="60"/>
        <v>1416.9326208956552</v>
      </c>
      <c r="BG46" s="34">
        <f t="shared" si="60"/>
        <v>1150.0573377374915</v>
      </c>
      <c r="BH46" s="34">
        <f t="shared" si="60"/>
        <v>19.901119201053632</v>
      </c>
      <c r="BI46" s="34">
        <f t="shared" si="60"/>
        <v>20.2623699592036</v>
      </c>
      <c r="BJ46" s="34">
        <f t="shared" si="60"/>
        <v>1871.2593226721954</v>
      </c>
      <c r="BK46" s="34">
        <f t="shared" si="60"/>
        <v>1252.6621059969009</v>
      </c>
      <c r="BL46" s="34">
        <f t="shared" si="60"/>
        <v>1310.3618375984461</v>
      </c>
      <c r="BM46" s="34">
        <f t="shared" si="60"/>
        <v>9.3683340945449203</v>
      </c>
      <c r="BN46" s="34">
        <f t="shared" si="60"/>
        <v>6.6248591429015269</v>
      </c>
      <c r="BO46" s="34">
        <f t="shared" si="60"/>
        <v>0.58068050537553673</v>
      </c>
      <c r="BP46" s="34">
        <f t="shared" ref="BP46:BX46" si="61">STDEV(BP33:BP44)</f>
        <v>0.78275943242302193</v>
      </c>
      <c r="BQ46" s="34">
        <f t="shared" si="61"/>
        <v>38866.502793480235</v>
      </c>
      <c r="BR46" s="34">
        <f t="shared" si="61"/>
        <v>6779.9713874516992</v>
      </c>
      <c r="BS46" s="34">
        <f t="shared" si="61"/>
        <v>10.988039247571338</v>
      </c>
      <c r="BT46" s="34">
        <f t="shared" si="61"/>
        <v>9.3441240836915984</v>
      </c>
      <c r="BU46" s="34">
        <f t="shared" si="61"/>
        <v>0.6840402848981777</v>
      </c>
      <c r="BV46" s="34">
        <f t="shared" si="61"/>
        <v>0.80989336913118093</v>
      </c>
      <c r="BW46" s="34">
        <f t="shared" si="61"/>
        <v>16338.410220152156</v>
      </c>
      <c r="BX46" s="34">
        <f t="shared" si="61"/>
        <v>7670.3071594919011</v>
      </c>
    </row>
    <row r="47" spans="1:76" x14ac:dyDescent="0.25">
      <c r="A47" s="33" t="s">
        <v>45</v>
      </c>
      <c r="B47" s="28"/>
      <c r="C47" s="28"/>
      <c r="D47" s="36">
        <f>TTEST(D34:D44,C34:C44,2,1)</f>
        <v>8.0265282990817522E-4</v>
      </c>
      <c r="E47" s="28"/>
      <c r="F47" s="28"/>
      <c r="G47" s="36">
        <f>TTEST(G34:G44,F34:F44,2,1)</f>
        <v>0.64716618496459022</v>
      </c>
      <c r="H47" s="28"/>
      <c r="I47" s="28"/>
      <c r="J47" s="36">
        <f>TTEST(I34:I44,J34:J44,2,1)</f>
        <v>1.5875063062341756E-3</v>
      </c>
      <c r="K47" s="36"/>
      <c r="L47" s="28"/>
      <c r="M47" s="28"/>
      <c r="N47" s="36">
        <f>TTEST(M34:M44,N34:N44,2,1)</f>
        <v>1.992090466477062E-6</v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30"/>
      <c r="AD47" s="30"/>
      <c r="AE47" s="30"/>
      <c r="AG47" s="36">
        <f>TTEST(AG34:AG44,AF34:AF44,2,1)</f>
        <v>2.4823993829454965E-6</v>
      </c>
      <c r="AJ47" s="36">
        <f>TTEST(AJ34:AJ44,AI34:AI44,2,1)</f>
        <v>2.2739492935783253E-5</v>
      </c>
      <c r="AM47" s="36">
        <f>TTEST(AM34:AM44,AL34:AL44,2,1)</f>
        <v>1.2180964265835391E-8</v>
      </c>
      <c r="AQ47" s="36">
        <f>TTEST(AQ34:AQ44,AP34:AP44,2,1)</f>
        <v>0.29370205268629773</v>
      </c>
      <c r="AS47" s="36">
        <f>TTEST(AS34:AS44,AR34:AR44,2,1)</f>
        <v>0.152350903822038</v>
      </c>
      <c r="AU47" s="36">
        <f>TTEST(AU34:AU44,AT34:AT44,2,1)</f>
        <v>0.67351954201318975</v>
      </c>
      <c r="AW47" s="36">
        <f>TTEST(AW34:AW44,AV34:AV44,2,1)</f>
        <v>8.8702917231865824E-3</v>
      </c>
      <c r="BA47" s="36">
        <f>TTEST(BA34:BA44,AZ34:AZ44,2,1)</f>
        <v>0.11433978378945721</v>
      </c>
      <c r="BF47" s="36">
        <f>TTEST(BF34:BF44,BE34:BE44,2,1)</f>
        <v>0.57210516954633273</v>
      </c>
      <c r="BK47" s="36">
        <f>TTEST(BK34:BK44,BJ34:BJ44,2,1)</f>
        <v>0.13001452581567621</v>
      </c>
      <c r="BP47" s="36">
        <f>TTEST(BP34:BP44,BO34:BO44,2,1)</f>
        <v>0.76681526296911318</v>
      </c>
    </row>
    <row r="48" spans="1:76" x14ac:dyDescent="0.25">
      <c r="A48" s="43" t="s">
        <v>120</v>
      </c>
      <c r="B48" s="29"/>
      <c r="C48" s="29"/>
      <c r="D48" s="43">
        <v>7.11</v>
      </c>
      <c r="E48" s="29"/>
      <c r="F48" s="29"/>
      <c r="G48" s="43">
        <v>4.3600000000000003</v>
      </c>
      <c r="H48" s="29"/>
      <c r="I48" s="29"/>
      <c r="J48" s="43">
        <v>0.53</v>
      </c>
      <c r="K48" s="29"/>
      <c r="L48" s="28"/>
      <c r="M48" s="29"/>
      <c r="N48" s="43">
        <v>26.18</v>
      </c>
      <c r="O48" s="29"/>
      <c r="P48" s="29"/>
      <c r="Q48" s="29"/>
      <c r="R48" s="43">
        <v>1.29</v>
      </c>
      <c r="S48" s="29"/>
      <c r="T48" s="29"/>
      <c r="U48" s="43">
        <v>22.79</v>
      </c>
      <c r="V48" s="29"/>
      <c r="W48" s="29"/>
      <c r="X48" s="43">
        <v>9.16</v>
      </c>
      <c r="Y48" s="43"/>
      <c r="Z48" s="43"/>
      <c r="AA48" s="43">
        <v>3.85</v>
      </c>
      <c r="AB48" s="43"/>
      <c r="AC48" s="43"/>
      <c r="AD48" s="43">
        <v>8.84</v>
      </c>
      <c r="AE48" s="29"/>
    </row>
    <row r="49" spans="1:76" x14ac:dyDescent="0.25">
      <c r="A49" s="43" t="s">
        <v>121</v>
      </c>
      <c r="B49" s="29"/>
      <c r="C49" s="29"/>
      <c r="D49" s="29"/>
      <c r="E49" s="43">
        <v>0.4</v>
      </c>
      <c r="F49" s="29"/>
      <c r="G49" s="29"/>
      <c r="H49" s="43">
        <v>0.08</v>
      </c>
      <c r="I49" s="29"/>
      <c r="J49" s="29"/>
      <c r="K49" s="43">
        <v>0.56000000000000005</v>
      </c>
      <c r="L49" s="28"/>
      <c r="M49" s="29"/>
      <c r="N49" s="29"/>
      <c r="O49" s="43">
        <v>0.68</v>
      </c>
      <c r="P49" s="43"/>
      <c r="Q49" s="29"/>
      <c r="R49" s="29"/>
      <c r="S49" s="43">
        <v>0.88</v>
      </c>
      <c r="T49" s="29"/>
      <c r="U49" s="29"/>
      <c r="V49" s="43">
        <v>0.69</v>
      </c>
      <c r="W49" s="29"/>
      <c r="X49" s="29"/>
      <c r="Y49" s="43">
        <v>-0.01</v>
      </c>
      <c r="Z49" s="29"/>
      <c r="AA49" s="29"/>
      <c r="AB49" s="43">
        <v>0.55000000000000004</v>
      </c>
      <c r="AC49" s="29"/>
      <c r="AD49" s="29"/>
      <c r="AE49" s="43">
        <v>-0.04</v>
      </c>
      <c r="AH49" s="36">
        <f>AH45/AVERAGE(AF46:AG46)</f>
        <v>1.3087603344458127</v>
      </c>
      <c r="AJ49" s="3"/>
      <c r="AK49" s="36">
        <f>AK45/AVERAGE(AI46:AJ46)</f>
        <v>0.60840934863521201</v>
      </c>
      <c r="AL49" s="5"/>
      <c r="AM49" s="5"/>
      <c r="AN49" s="36">
        <f>AN45/AVERAGE(AL46:AM46)</f>
        <v>2.7279994966640353</v>
      </c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36">
        <f>BB45/AVERAGE(AZ46:BA46)</f>
        <v>0.47532441410459836</v>
      </c>
      <c r="BC49" s="5"/>
      <c r="BD49" s="5"/>
      <c r="BE49" s="5"/>
      <c r="BF49" s="5"/>
      <c r="BG49" s="36">
        <f>BG45/AVERAGE(BE46:BF46)</f>
        <v>0.11462283712066688</v>
      </c>
      <c r="BH49" s="5"/>
      <c r="BI49" s="5"/>
      <c r="BJ49" s="5"/>
      <c r="BK49" s="5"/>
      <c r="BL49" s="36">
        <f>BL45/AVERAGE(BJ46:BK46)</f>
        <v>0.41728699350110232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</row>
    <row r="51" spans="1:76" x14ac:dyDescent="0.25">
      <c r="AO51" s="6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9"/>
  <sheetViews>
    <sheetView zoomScaleNormal="100" workbookViewId="0">
      <selection activeCell="U32" sqref="U32"/>
    </sheetView>
  </sheetViews>
  <sheetFormatPr defaultColWidth="9.140625" defaultRowHeight="12.75" x14ac:dyDescent="0.2"/>
  <cols>
    <col min="1" max="1" width="11.42578125" style="8" bestFit="1" customWidth="1"/>
    <col min="2" max="2" width="9.140625" style="8"/>
    <col min="3" max="4" width="13.140625" style="8" bestFit="1" customWidth="1"/>
    <col min="5" max="5" width="3.140625" style="8" customWidth="1"/>
    <col min="6" max="7" width="15.7109375" style="8" bestFit="1" customWidth="1"/>
    <col min="8" max="8" width="2.7109375" style="8" customWidth="1"/>
    <col min="9" max="10" width="10.85546875" style="8" bestFit="1" customWidth="1"/>
    <col min="11" max="11" width="9.140625" style="8"/>
    <col min="12" max="12" width="22.7109375" style="8" bestFit="1" customWidth="1"/>
    <col min="13" max="13" width="24.28515625" style="8" bestFit="1" customWidth="1"/>
    <col min="14" max="14" width="24.28515625" style="8" customWidth="1"/>
    <col min="15" max="15" width="12.85546875" style="52" bestFit="1" customWidth="1"/>
    <col min="16" max="16" width="22.28515625" style="8" bestFit="1" customWidth="1"/>
    <col min="17" max="17" width="23.85546875" style="8" bestFit="1" customWidth="1"/>
    <col min="18" max="18" width="9.140625" style="52"/>
    <col min="19" max="20" width="9.140625" style="8"/>
    <col min="21" max="21" width="13.7109375" style="8" bestFit="1" customWidth="1"/>
    <col min="22" max="22" width="15.5703125" style="8" bestFit="1" customWidth="1"/>
    <col min="23" max="23" width="13" style="8" bestFit="1" customWidth="1"/>
    <col min="24" max="24" width="10.85546875" style="8" customWidth="1"/>
    <col min="25" max="25" width="10.28515625" style="8" customWidth="1"/>
    <col min="26" max="26" width="15.5703125" style="8" bestFit="1" customWidth="1"/>
    <col min="27" max="27" width="9.140625" style="8"/>
    <col min="28" max="28" width="13.5703125" style="8" customWidth="1"/>
    <col min="29" max="16384" width="9.140625" style="8"/>
  </cols>
  <sheetData>
    <row r="1" spans="1:25" ht="25.5" x14ac:dyDescent="0.2">
      <c r="A1" s="8" t="s">
        <v>91</v>
      </c>
      <c r="B1" s="8" t="s">
        <v>0</v>
      </c>
      <c r="C1" s="8" t="s">
        <v>92</v>
      </c>
      <c r="D1" s="8" t="s">
        <v>93</v>
      </c>
      <c r="F1" s="8" t="s">
        <v>94</v>
      </c>
      <c r="G1" s="8" t="s">
        <v>95</v>
      </c>
      <c r="I1" s="8" t="s">
        <v>96</v>
      </c>
      <c r="J1" s="8" t="s">
        <v>97</v>
      </c>
      <c r="L1" s="8" t="s">
        <v>131</v>
      </c>
      <c r="M1" s="8" t="s">
        <v>141</v>
      </c>
      <c r="N1" s="8" t="s">
        <v>155</v>
      </c>
      <c r="O1" s="52" t="s">
        <v>151</v>
      </c>
      <c r="P1" s="8" t="s">
        <v>132</v>
      </c>
      <c r="Q1" s="8" t="s">
        <v>143</v>
      </c>
      <c r="R1" s="52" t="s">
        <v>151</v>
      </c>
      <c r="S1" s="8" t="s">
        <v>155</v>
      </c>
      <c r="U1" s="10" t="s">
        <v>28</v>
      </c>
      <c r="V1" s="8" t="s">
        <v>152</v>
      </c>
      <c r="W1" s="10" t="s">
        <v>153</v>
      </c>
      <c r="X1" s="10" t="s">
        <v>154</v>
      </c>
      <c r="Y1" s="10" t="s">
        <v>156</v>
      </c>
    </row>
    <row r="2" spans="1:25" x14ac:dyDescent="0.2">
      <c r="A2" s="8" t="s">
        <v>1</v>
      </c>
      <c r="B2" s="10" t="s">
        <v>2</v>
      </c>
      <c r="C2" s="19">
        <v>166.06170598911069</v>
      </c>
      <c r="D2" s="19">
        <v>248.63883847549909</v>
      </c>
      <c r="E2" s="19"/>
      <c r="F2" s="19">
        <v>47.640653357531754</v>
      </c>
      <c r="G2" s="19">
        <v>80.308529945553531</v>
      </c>
      <c r="H2" s="19"/>
      <c r="I2" s="19">
        <v>88.475499092558977</v>
      </c>
      <c r="J2" s="19">
        <v>117.05989110707803</v>
      </c>
      <c r="L2" s="8">
        <v>6734.2054170666661</v>
      </c>
      <c r="M2" s="8">
        <v>9722.0354135813941</v>
      </c>
      <c r="N2" s="8">
        <f>((M2-L2)/L2)*100</f>
        <v>44.367966396489713</v>
      </c>
      <c r="O2" s="52">
        <f>M2-L2</f>
        <v>2987.829996514728</v>
      </c>
      <c r="P2" s="8">
        <v>5406.3669695438584</v>
      </c>
      <c r="Q2" s="8">
        <v>7351.5473272195113</v>
      </c>
      <c r="R2" s="52">
        <f>Q2-P2</f>
        <v>1945.1803576756529</v>
      </c>
      <c r="S2" s="8">
        <f>((Q2-P2)/P2)*100</f>
        <v>35.979436257908517</v>
      </c>
      <c r="U2" s="13" t="s">
        <v>1</v>
      </c>
      <c r="V2" s="9">
        <v>53.658536585365866</v>
      </c>
      <c r="W2" s="9">
        <v>19.735973597359742</v>
      </c>
      <c r="X2" s="9">
        <v>44.367966396489713</v>
      </c>
      <c r="Y2" s="9">
        <v>35.979436257908517</v>
      </c>
    </row>
    <row r="3" spans="1:25" x14ac:dyDescent="0.2">
      <c r="A3" s="8" t="s">
        <v>30</v>
      </c>
      <c r="B3" s="10" t="s">
        <v>2</v>
      </c>
      <c r="C3" s="19">
        <v>209.61887477313974</v>
      </c>
      <c r="D3" s="19">
        <v>280.39927404718691</v>
      </c>
      <c r="E3" s="19"/>
      <c r="F3" s="19">
        <v>64.42831215970962</v>
      </c>
      <c r="G3" s="19">
        <v>75.771324863883848</v>
      </c>
      <c r="H3" s="19"/>
      <c r="I3" s="19">
        <v>124.31941923774954</v>
      </c>
      <c r="J3" s="19">
        <v>161.07078039927404</v>
      </c>
      <c r="L3" s="8">
        <v>3983.5671495145634</v>
      </c>
      <c r="M3" s="8">
        <v>8118.8977591111097</v>
      </c>
      <c r="N3" s="8">
        <f t="shared" ref="N3:N43" si="0">((M3-L3)/L3)*100</f>
        <v>103.80973771461282</v>
      </c>
      <c r="O3" s="52">
        <f t="shared" ref="O3:O10" si="1">M3-L3</f>
        <v>4135.3306095965463</v>
      </c>
      <c r="P3" s="8">
        <v>3898.0312665168535</v>
      </c>
      <c r="Q3" s="8">
        <v>6512.3930392195116</v>
      </c>
      <c r="R3" s="52">
        <f t="shared" ref="R3:R10" si="2">Q3-P3</f>
        <v>2614.3617727026581</v>
      </c>
      <c r="S3" s="8">
        <f t="shared" ref="S3:S43" si="3">((Q3-P3)/P3)*100</f>
        <v>67.068773797670474</v>
      </c>
      <c r="U3" s="13" t="s">
        <v>30</v>
      </c>
      <c r="V3" s="9">
        <v>4.3478260869565108</v>
      </c>
      <c r="W3" s="9">
        <v>4.5953360768175502</v>
      </c>
      <c r="X3" s="9">
        <v>103.80973771461282</v>
      </c>
      <c r="Y3" s="9">
        <v>67.068773797670474</v>
      </c>
    </row>
    <row r="4" spans="1:25" x14ac:dyDescent="0.2">
      <c r="A4" s="8" t="s">
        <v>7</v>
      </c>
      <c r="B4" s="10" t="s">
        <v>2</v>
      </c>
      <c r="C4" s="19">
        <v>68.511796733212336</v>
      </c>
      <c r="D4" s="19">
        <v>153.81125226860252</v>
      </c>
      <c r="E4" s="19"/>
      <c r="F4" s="19">
        <v>50.362976406533569</v>
      </c>
      <c r="G4" s="19">
        <v>52.631578947368418</v>
      </c>
      <c r="H4" s="19"/>
      <c r="I4" s="19">
        <v>70.780399274047184</v>
      </c>
      <c r="J4" s="19">
        <v>92.558983666061692</v>
      </c>
      <c r="L4" s="8">
        <v>4096.5714387070684</v>
      </c>
      <c r="M4" s="8">
        <v>4983.7363558991592</v>
      </c>
      <c r="N4" s="8">
        <f t="shared" si="0"/>
        <v>21.656278438344327</v>
      </c>
      <c r="O4" s="52">
        <f t="shared" si="1"/>
        <v>887.1649171920908</v>
      </c>
      <c r="P4" s="8">
        <v>3254.8959227368409</v>
      </c>
      <c r="Q4" s="8">
        <v>2725.2309212121204</v>
      </c>
      <c r="R4" s="52">
        <f t="shared" si="2"/>
        <v>-529.66500152472054</v>
      </c>
      <c r="S4" s="8">
        <f t="shared" si="3"/>
        <v>-16.272870595486136</v>
      </c>
      <c r="U4" s="13" t="s">
        <v>7</v>
      </c>
      <c r="V4" s="9">
        <v>85.840707964601791</v>
      </c>
      <c r="W4" s="9">
        <v>11.677479147358659</v>
      </c>
      <c r="X4" s="9">
        <v>21.656278438344327</v>
      </c>
      <c r="Y4" s="9">
        <v>-16.272870595486136</v>
      </c>
    </row>
    <row r="5" spans="1:25" x14ac:dyDescent="0.2">
      <c r="A5" s="8" t="s">
        <v>8</v>
      </c>
      <c r="B5" s="10" t="s">
        <v>2</v>
      </c>
      <c r="C5" s="19">
        <v>146.55172413793102</v>
      </c>
      <c r="D5" s="19">
        <v>251.36116152450089</v>
      </c>
      <c r="E5" s="19"/>
      <c r="F5" s="19">
        <v>78.039927404718682</v>
      </c>
      <c r="G5" s="19">
        <v>97.549909255898356</v>
      </c>
      <c r="H5" s="19"/>
      <c r="I5" s="19">
        <v>106.62431941923774</v>
      </c>
      <c r="J5" s="19">
        <v>136.11615245009074</v>
      </c>
      <c r="U5" s="13" t="s">
        <v>11</v>
      </c>
      <c r="V5" s="9">
        <v>19.523809523809511</v>
      </c>
      <c r="W5" s="9">
        <v>5.5118110236220597</v>
      </c>
      <c r="X5" s="9">
        <v>-5.4931182018575688</v>
      </c>
      <c r="Y5" s="9">
        <v>11.949826924523972</v>
      </c>
    </row>
    <row r="6" spans="1:25" x14ac:dyDescent="0.2">
      <c r="A6" s="8" t="s">
        <v>11</v>
      </c>
      <c r="B6" s="10" t="s">
        <v>2</v>
      </c>
      <c r="C6" s="19">
        <v>141.56079854809437</v>
      </c>
      <c r="D6" s="19">
        <v>174.6823956442831</v>
      </c>
      <c r="E6" s="19"/>
      <c r="F6" s="19">
        <v>56.715063520871141</v>
      </c>
      <c r="G6" s="19">
        <v>68.511796733212336</v>
      </c>
      <c r="H6" s="19"/>
      <c r="I6" s="19">
        <v>114.79128856624318</v>
      </c>
      <c r="J6" s="19">
        <v>129.31034482758619</v>
      </c>
      <c r="L6" s="8">
        <v>5157.5567108349533</v>
      </c>
      <c r="M6" s="8">
        <v>4874.2460243809519</v>
      </c>
      <c r="N6" s="8">
        <f t="shared" si="0"/>
        <v>-5.4931182018575688</v>
      </c>
      <c r="O6" s="52">
        <f t="shared" si="1"/>
        <v>-283.31068645400137</v>
      </c>
      <c r="P6" s="8">
        <v>4032.4618919183672</v>
      </c>
      <c r="Q6" s="8">
        <v>4514.334108799997</v>
      </c>
      <c r="R6" s="52">
        <f t="shared" si="2"/>
        <v>481.87221688162981</v>
      </c>
      <c r="S6" s="8">
        <f t="shared" si="3"/>
        <v>11.949826924523972</v>
      </c>
      <c r="U6" s="13" t="s">
        <v>35</v>
      </c>
      <c r="V6" s="9">
        <v>56.48854961832059</v>
      </c>
      <c r="W6" s="9">
        <v>2.8132992327365764</v>
      </c>
      <c r="X6" s="9">
        <v>-19.30629503044014</v>
      </c>
      <c r="Y6" s="9">
        <v>-3.6535979707177999</v>
      </c>
    </row>
    <row r="7" spans="1:25" x14ac:dyDescent="0.2">
      <c r="A7" s="8" t="s">
        <v>13</v>
      </c>
      <c r="B7" s="10" t="s">
        <v>2</v>
      </c>
      <c r="C7" s="19">
        <v>267.69509981851178</v>
      </c>
      <c r="D7" s="19">
        <v>382.03266787658799</v>
      </c>
      <c r="E7" s="19"/>
      <c r="F7" s="19">
        <v>117.05989110707803</v>
      </c>
      <c r="G7" s="19">
        <v>124.31941923774954</v>
      </c>
      <c r="H7" s="19"/>
      <c r="I7" s="19">
        <v>168.33030852994554</v>
      </c>
      <c r="J7" s="19">
        <v>256.35208711433756</v>
      </c>
      <c r="L7" s="8">
        <v>6413.5577892923066</v>
      </c>
      <c r="M7" s="8">
        <v>6770.0742821265803</v>
      </c>
      <c r="N7" s="8">
        <f t="shared" si="0"/>
        <v>5.5587944249834695</v>
      </c>
      <c r="O7" s="52">
        <f t="shared" si="1"/>
        <v>356.51649283427378</v>
      </c>
      <c r="P7" s="8">
        <v>4611.9950375652161</v>
      </c>
      <c r="Q7" s="8">
        <v>3854.308773230769</v>
      </c>
      <c r="R7" s="52">
        <f t="shared" si="2"/>
        <v>-757.68626433444706</v>
      </c>
      <c r="S7" s="8">
        <f t="shared" si="3"/>
        <v>-16.428601031939706</v>
      </c>
      <c r="U7" s="13" t="s">
        <v>16</v>
      </c>
      <c r="V7" s="9">
        <v>24.623115577889447</v>
      </c>
      <c r="W7" s="9">
        <v>12.356792144026194</v>
      </c>
      <c r="X7" s="9">
        <v>54.152671274316766</v>
      </c>
      <c r="Y7" s="9">
        <v>27.572015862396608</v>
      </c>
    </row>
    <row r="8" spans="1:25" x14ac:dyDescent="0.2">
      <c r="A8" s="8" t="s">
        <v>35</v>
      </c>
      <c r="B8" s="10" t="s">
        <v>2</v>
      </c>
      <c r="C8" s="19">
        <v>166.06170598911069</v>
      </c>
      <c r="D8" s="19">
        <v>270.87114337568056</v>
      </c>
      <c r="E8" s="19"/>
      <c r="F8" s="19">
        <v>56.715063520871141</v>
      </c>
      <c r="G8" s="19">
        <v>69.419237749546269</v>
      </c>
      <c r="H8" s="19"/>
      <c r="I8" s="19">
        <v>90.290381125226858</v>
      </c>
      <c r="J8" s="19">
        <v>134.30127041742287</v>
      </c>
      <c r="L8" s="8">
        <v>5723.5216733866655</v>
      </c>
      <c r="M8" s="8">
        <v>4618.5216929914513</v>
      </c>
      <c r="N8" s="8">
        <f t="shared" si="0"/>
        <v>-19.30629503044014</v>
      </c>
      <c r="O8" s="52">
        <f t="shared" si="1"/>
        <v>-1104.9999803952142</v>
      </c>
      <c r="P8" s="8">
        <v>4176.4420831999996</v>
      </c>
      <c r="Q8" s="8">
        <v>4023.8516800000002</v>
      </c>
      <c r="R8" s="52">
        <f t="shared" si="2"/>
        <v>-152.5904031999994</v>
      </c>
      <c r="S8" s="8">
        <f t="shared" si="3"/>
        <v>-3.6535979707177999</v>
      </c>
      <c r="U8" s="13" t="s">
        <v>18</v>
      </c>
      <c r="V8" s="9">
        <v>24.758842443729908</v>
      </c>
      <c r="W8" s="9">
        <v>7.0077864293659591</v>
      </c>
      <c r="X8" s="9">
        <v>6.7059736661666189</v>
      </c>
      <c r="Y8" s="9">
        <v>0.41664964249232705</v>
      </c>
    </row>
    <row r="9" spans="1:25" x14ac:dyDescent="0.2">
      <c r="A9" s="8" t="s">
        <v>16</v>
      </c>
      <c r="B9" s="10" t="s">
        <v>2</v>
      </c>
      <c r="C9" s="19">
        <v>128.85662431941924</v>
      </c>
      <c r="D9" s="19">
        <v>187.84029038112521</v>
      </c>
      <c r="E9" s="19"/>
      <c r="F9" s="19">
        <v>74.8638838475499</v>
      </c>
      <c r="G9" s="19">
        <v>92.558983666061692</v>
      </c>
      <c r="H9" s="19"/>
      <c r="I9" s="19">
        <v>79.401088929219597</v>
      </c>
      <c r="J9" s="19">
        <v>119.32849364791288</v>
      </c>
      <c r="L9" s="8">
        <v>3518.9596151641795</v>
      </c>
      <c r="M9" s="8">
        <v>5424.5702478399999</v>
      </c>
      <c r="N9" s="8">
        <f t="shared" si="0"/>
        <v>54.152671274316766</v>
      </c>
      <c r="O9" s="52">
        <f t="shared" si="1"/>
        <v>1905.6106326758204</v>
      </c>
      <c r="P9" s="8">
        <v>4189.9366798688525</v>
      </c>
      <c r="Q9" s="8">
        <v>5345.1866858666663</v>
      </c>
      <c r="R9" s="52">
        <f t="shared" si="2"/>
        <v>1155.2500059978138</v>
      </c>
      <c r="S9" s="8">
        <f t="shared" si="3"/>
        <v>27.572015862396608</v>
      </c>
      <c r="U9" s="54" t="s">
        <v>3</v>
      </c>
      <c r="V9" s="9">
        <v>9.0476190476190439</v>
      </c>
      <c r="W9" s="9">
        <v>12.025723472668803</v>
      </c>
      <c r="X9" s="9">
        <v>30.623619979710021</v>
      </c>
      <c r="Y9" s="9">
        <v>-4.8243453660248345</v>
      </c>
    </row>
    <row r="10" spans="1:25" x14ac:dyDescent="0.2">
      <c r="A10" s="8" t="s">
        <v>18</v>
      </c>
      <c r="B10" s="10" t="s">
        <v>2</v>
      </c>
      <c r="C10" s="19">
        <v>205.53539019963699</v>
      </c>
      <c r="D10" s="19">
        <v>263.61161524500903</v>
      </c>
      <c r="E10" s="19"/>
      <c r="F10" s="19">
        <v>90.290381125226858</v>
      </c>
      <c r="G10" s="19">
        <v>97.549909255898356</v>
      </c>
      <c r="H10" s="19"/>
      <c r="I10" s="19">
        <v>139.29219600725952</v>
      </c>
      <c r="J10" s="19">
        <v>178.31215970961887</v>
      </c>
      <c r="L10" s="8">
        <v>8521.1796720000002</v>
      </c>
      <c r="M10" s="8">
        <v>9092.6077368510632</v>
      </c>
      <c r="N10" s="8">
        <f t="shared" si="0"/>
        <v>6.7059736661666189</v>
      </c>
      <c r="O10" s="52">
        <f t="shared" si="1"/>
        <v>571.42806485106303</v>
      </c>
      <c r="P10" s="8">
        <v>5513.8229333333338</v>
      </c>
      <c r="Q10" s="8">
        <v>5536.7962568727271</v>
      </c>
      <c r="R10" s="52">
        <f t="shared" si="2"/>
        <v>22.973323539393277</v>
      </c>
      <c r="S10" s="8">
        <f t="shared" si="3"/>
        <v>0.41664964249232705</v>
      </c>
      <c r="U10" s="54" t="s">
        <v>9</v>
      </c>
      <c r="V10" s="9">
        <v>-4.8780487804878092</v>
      </c>
      <c r="W10" s="9">
        <v>0.13995801259621315</v>
      </c>
      <c r="X10" s="9">
        <v>5.8454263310058385</v>
      </c>
      <c r="Y10" s="9">
        <v>23.057858739743686</v>
      </c>
    </row>
    <row r="11" spans="1:25" x14ac:dyDescent="0.2">
      <c r="A11" s="14" t="s">
        <v>27</v>
      </c>
      <c r="B11" s="10"/>
      <c r="C11" s="20">
        <f>AVERAGE(C2:C10)</f>
        <v>166.717080056463</v>
      </c>
      <c r="D11" s="20">
        <f>AVERAGE(D2:D10)</f>
        <v>245.91651542649723</v>
      </c>
      <c r="E11" s="21"/>
      <c r="F11" s="20">
        <f>AVERAGE(F2:F10)</f>
        <v>70.679572494454519</v>
      </c>
      <c r="G11" s="20">
        <f>AVERAGE(G2:G10)</f>
        <v>84.291187739463609</v>
      </c>
      <c r="H11" s="21"/>
      <c r="I11" s="20">
        <f>AVERAGE(I2:I10)</f>
        <v>109.14498890905423</v>
      </c>
      <c r="J11" s="20">
        <f>AVERAGE(J2:J10)</f>
        <v>147.15668481548698</v>
      </c>
      <c r="L11" s="8">
        <f>AVERAGE(L2:L10)</f>
        <v>5518.6399332458004</v>
      </c>
      <c r="M11" s="8">
        <f>AVERAGE(M2:M10)</f>
        <v>6700.5861890977139</v>
      </c>
      <c r="O11" s="52">
        <f>AVERAGE(O2:O10)</f>
        <v>1181.9462558519133</v>
      </c>
      <c r="P11" s="8">
        <f>AVERAGE(P2:P10)</f>
        <v>4385.4940980854153</v>
      </c>
      <c r="Q11" s="8">
        <f>AVERAGE(Q2:Q10)</f>
        <v>4982.9560990526625</v>
      </c>
      <c r="R11" s="52">
        <f>AVERAGE(R2:R10)</f>
        <v>597.46200096724772</v>
      </c>
      <c r="U11" s="54" t="s">
        <v>32</v>
      </c>
      <c r="V11" s="9">
        <v>26.011560693641627</v>
      </c>
      <c r="W11" s="9">
        <v>11.81339352896914</v>
      </c>
      <c r="X11" s="9">
        <v>6.4375462009971098</v>
      </c>
      <c r="Y11" s="9">
        <v>-2.2271909064362636</v>
      </c>
    </row>
    <row r="12" spans="1:25" x14ac:dyDescent="0.2">
      <c r="A12" s="14" t="s">
        <v>44</v>
      </c>
      <c r="B12" s="10"/>
      <c r="C12" s="20">
        <f>STDEV(C2:C10)</f>
        <v>56.637020310869211</v>
      </c>
      <c r="D12" s="20">
        <f>STDEV(D2:D10)</f>
        <v>68.574867905037564</v>
      </c>
      <c r="E12" s="21"/>
      <c r="F12" s="20">
        <f>STDEV(F2:F10)</f>
        <v>22.304848701523024</v>
      </c>
      <c r="G12" s="20">
        <f>STDEV(G2:G10)</f>
        <v>21.163493601265088</v>
      </c>
      <c r="H12" s="21"/>
      <c r="I12" s="20">
        <f>STDEV(I2:I10)</f>
        <v>31.264035513218502</v>
      </c>
      <c r="J12" s="20">
        <f>STDEV(J2:J10)</f>
        <v>47.899220539339204</v>
      </c>
      <c r="L12" s="8">
        <f>STDEV(L2:L10)</f>
        <v>1683.6834003080628</v>
      </c>
      <c r="M12" s="8">
        <f>STDEV(M2:M10)</f>
        <v>2039.3857549012005</v>
      </c>
      <c r="O12" s="52">
        <f>STDEV(O2:O10)</f>
        <v>1733.0999947789192</v>
      </c>
      <c r="P12" s="8">
        <f>STDEV(P2:P10)</f>
        <v>764.29794950451901</v>
      </c>
      <c r="Q12" s="8">
        <f>STDEV(Q2:Q10)</f>
        <v>1507.0314860521742</v>
      </c>
      <c r="R12" s="52">
        <f>STDEV(R2:R10)</f>
        <v>1207.605414810808</v>
      </c>
      <c r="U12" s="54" t="s">
        <v>10</v>
      </c>
      <c r="V12" s="9">
        <v>17.131474103585663</v>
      </c>
      <c r="W12" s="9">
        <v>3.415453527435607</v>
      </c>
      <c r="X12" s="9">
        <v>-18.126510536940817</v>
      </c>
      <c r="Y12" s="9">
        <v>-24.578929900256778</v>
      </c>
    </row>
    <row r="13" spans="1:25" x14ac:dyDescent="0.2">
      <c r="A13" s="14" t="s">
        <v>45</v>
      </c>
      <c r="B13" s="10"/>
      <c r="C13" s="10"/>
      <c r="D13" s="16">
        <f>TTEST(C2:C10,D2:D10,2,1)</f>
        <v>1.9379800085182153E-5</v>
      </c>
      <c r="E13" s="10"/>
      <c r="F13" s="10"/>
      <c r="G13" s="16">
        <f>TTEST(G2:G10,F2:F10,2,1)</f>
        <v>1.7790169731526097E-3</v>
      </c>
      <c r="H13" s="10"/>
      <c r="I13" s="10"/>
      <c r="J13" s="16">
        <f>TTEST(I2:I10,J2:J10,2,1)</f>
        <v>6.1869515633040158E-4</v>
      </c>
      <c r="M13" s="16">
        <f>TTEST(L2:L10,M2:M10,2,1)</f>
        <v>9.5070317965874243E-2</v>
      </c>
      <c r="Q13" s="16">
        <f>TTEST(P2:P10,Q2:Q10,2,1)</f>
        <v>0.20442396860466147</v>
      </c>
      <c r="U13" s="54" t="s">
        <v>33</v>
      </c>
      <c r="V13" s="9">
        <v>43.956043956043956</v>
      </c>
      <c r="W13" s="9">
        <v>8.2930200414651001</v>
      </c>
      <c r="X13" s="9">
        <v>23.229221423010678</v>
      </c>
      <c r="Y13" s="9">
        <v>8.4169126740117708</v>
      </c>
    </row>
    <row r="14" spans="1:25" x14ac:dyDescent="0.2">
      <c r="A14" s="14" t="s">
        <v>121</v>
      </c>
      <c r="B14" s="10"/>
      <c r="C14" s="10"/>
      <c r="D14" s="16"/>
      <c r="E14" s="10"/>
      <c r="F14" s="10"/>
      <c r="G14" s="16"/>
      <c r="H14" s="10"/>
      <c r="I14" s="10"/>
      <c r="J14" s="16"/>
      <c r="M14" s="16">
        <f>O11/(AVERAGE(L12:M12))</f>
        <v>0.63493113158972703</v>
      </c>
      <c r="Q14" s="16">
        <f>R11/(AVERAGE(P12:Q12))</f>
        <v>0.52609013172130381</v>
      </c>
      <c r="U14" s="54" t="s">
        <v>12</v>
      </c>
      <c r="V14" s="9">
        <v>43.150684931506845</v>
      </c>
      <c r="W14" s="9">
        <v>6.8468468468468417</v>
      </c>
      <c r="X14" s="9">
        <v>24.194317340158406</v>
      </c>
      <c r="Y14" s="9">
        <v>-14.151919652446225</v>
      </c>
    </row>
    <row r="15" spans="1:25" x14ac:dyDescent="0.2">
      <c r="A15" s="14"/>
      <c r="B15" s="10"/>
      <c r="C15" s="10"/>
      <c r="D15" s="16"/>
      <c r="E15" s="10"/>
      <c r="F15" s="10"/>
      <c r="G15" s="16"/>
      <c r="H15" s="10"/>
      <c r="I15" s="10"/>
      <c r="J15" s="16"/>
      <c r="U15" s="54" t="s">
        <v>34</v>
      </c>
      <c r="V15" s="9">
        <v>62.566844919786092</v>
      </c>
      <c r="W15" s="9">
        <v>8.405639913232104</v>
      </c>
      <c r="X15" s="9">
        <v>3.734193288648409</v>
      </c>
      <c r="Y15" s="9">
        <v>-6.6005586192503154</v>
      </c>
    </row>
    <row r="16" spans="1:25" x14ac:dyDescent="0.2">
      <c r="A16" s="8" t="s">
        <v>3</v>
      </c>
      <c r="B16" s="10" t="s">
        <v>4</v>
      </c>
      <c r="C16" s="17">
        <v>209.61887477313974</v>
      </c>
      <c r="D16" s="17">
        <v>329.40108892921955</v>
      </c>
      <c r="E16" s="17"/>
      <c r="F16" s="17">
        <v>98.003629764065323</v>
      </c>
      <c r="G16" s="17">
        <v>112.06896551724137</v>
      </c>
      <c r="H16" s="17"/>
      <c r="I16" s="17">
        <v>124.31941923774954</v>
      </c>
      <c r="J16" s="17">
        <v>167.87658802177856</v>
      </c>
      <c r="L16" s="8">
        <v>5561.5046685714278</v>
      </c>
      <c r="M16" s="8">
        <v>7264.638723428573</v>
      </c>
      <c r="N16" s="8">
        <f t="shared" si="0"/>
        <v>30.623619979710021</v>
      </c>
      <c r="O16" s="52">
        <f>M16-L16</f>
        <v>1703.1340548571452</v>
      </c>
      <c r="P16" s="8">
        <v>4747.7914854901956</v>
      </c>
      <c r="Q16" s="8">
        <v>4518.7416269714276</v>
      </c>
      <c r="R16" s="52">
        <f>Q16-P16</f>
        <v>-229.04985851876791</v>
      </c>
      <c r="S16" s="8">
        <f t="shared" si="3"/>
        <v>-4.8243453660248345</v>
      </c>
      <c r="U16" s="54" t="s">
        <v>14</v>
      </c>
      <c r="V16" s="9">
        <v>13.186813186813188</v>
      </c>
      <c r="W16" s="9">
        <v>7.142857142857145</v>
      </c>
      <c r="X16" s="9">
        <v>36.107160598963887</v>
      </c>
      <c r="Y16" s="9">
        <v>30.756382700580993</v>
      </c>
    </row>
    <row r="17" spans="1:25" x14ac:dyDescent="0.2">
      <c r="A17" s="8" t="s">
        <v>9</v>
      </c>
      <c r="B17" s="10" t="s">
        <v>4</v>
      </c>
      <c r="C17" s="17">
        <v>166.06170598911069</v>
      </c>
      <c r="D17" s="17">
        <v>322.59528130671504</v>
      </c>
      <c r="E17" s="17"/>
      <c r="F17" s="17">
        <v>46.279491833030846</v>
      </c>
      <c r="G17" s="17">
        <v>59.891107078039923</v>
      </c>
      <c r="H17" s="17"/>
      <c r="I17" s="17">
        <v>90.290381125226858</v>
      </c>
      <c r="J17" s="17">
        <v>136.56987295825769</v>
      </c>
      <c r="L17" s="8">
        <v>7458.4939538461513</v>
      </c>
      <c r="M17" s="8">
        <v>7894.4747233207527</v>
      </c>
      <c r="N17" s="8">
        <f t="shared" si="0"/>
        <v>5.8454263310058385</v>
      </c>
      <c r="O17" s="52">
        <f t="shared" ref="O17:O27" si="4">M17-L17</f>
        <v>435.9807694746014</v>
      </c>
      <c r="P17" s="8">
        <v>4608.0336969142854</v>
      </c>
      <c r="Q17" s="8">
        <v>5670.54759742857</v>
      </c>
      <c r="R17" s="52">
        <f t="shared" ref="R17:R27" si="5">Q17-P17</f>
        <v>1062.5139005142846</v>
      </c>
      <c r="S17" s="8">
        <f t="shared" si="3"/>
        <v>23.057858739743686</v>
      </c>
      <c r="U17" s="54" t="s">
        <v>22</v>
      </c>
      <c r="V17" s="9">
        <v>52.229299363057322</v>
      </c>
      <c r="W17" s="9">
        <v>20.239774330042305</v>
      </c>
      <c r="X17" s="9">
        <v>11.916915874967261</v>
      </c>
      <c r="Y17" s="9">
        <v>-4.1502592014524637</v>
      </c>
    </row>
    <row r="18" spans="1:25" x14ac:dyDescent="0.2">
      <c r="A18" s="8" t="s">
        <v>32</v>
      </c>
      <c r="B18" s="10" t="s">
        <v>4</v>
      </c>
      <c r="C18" s="17">
        <v>138.38475499092559</v>
      </c>
      <c r="D18" s="17">
        <v>244.10163339382939</v>
      </c>
      <c r="E18" s="17"/>
      <c r="F18" s="17">
        <v>58.983666061705982</v>
      </c>
      <c r="G18" s="17">
        <v>75.771324863883848</v>
      </c>
      <c r="H18" s="17"/>
      <c r="I18" s="17">
        <v>88.475499092558977</v>
      </c>
      <c r="J18" s="17">
        <v>117.05989110707803</v>
      </c>
      <c r="L18" s="8">
        <v>3511.4776925714295</v>
      </c>
      <c r="M18" s="8">
        <v>3737.5306913684226</v>
      </c>
      <c r="N18" s="8">
        <f t="shared" si="0"/>
        <v>6.4375462009971098</v>
      </c>
      <c r="O18" s="52">
        <f t="shared" si="4"/>
        <v>226.05299879699305</v>
      </c>
      <c r="P18" s="8">
        <v>4022.9223840000013</v>
      </c>
      <c r="Q18" s="8">
        <v>3933.3242224905644</v>
      </c>
      <c r="R18" s="52">
        <f t="shared" si="5"/>
        <v>-89.598161509436977</v>
      </c>
      <c r="S18" s="8">
        <f t="shared" si="3"/>
        <v>-2.2271909064362636</v>
      </c>
      <c r="U18" s="54" t="s">
        <v>23</v>
      </c>
      <c r="V18" s="9">
        <v>-15.573770491803273</v>
      </c>
      <c r="W18" s="9">
        <v>11.711711711711695</v>
      </c>
      <c r="X18" s="9">
        <v>11.079587207966906</v>
      </c>
      <c r="Y18" s="9">
        <v>38.402499118755948</v>
      </c>
    </row>
    <row r="19" spans="1:25" x14ac:dyDescent="0.2">
      <c r="A19" s="8" t="s">
        <v>10</v>
      </c>
      <c r="B19" s="10" t="s">
        <v>4</v>
      </c>
      <c r="C19" s="17">
        <v>283.12159709618874</v>
      </c>
      <c r="D19" s="17">
        <v>365.24500907441012</v>
      </c>
      <c r="E19" s="17"/>
      <c r="F19" s="17">
        <v>90.744101633393825</v>
      </c>
      <c r="G19" s="17">
        <v>112.06896551724137</v>
      </c>
      <c r="H19" s="17"/>
      <c r="I19" s="17">
        <v>141.56079854809437</v>
      </c>
      <c r="J19" s="17">
        <v>180.12704174228674</v>
      </c>
      <c r="L19" s="8">
        <v>7421.6612995918349</v>
      </c>
      <c r="M19" s="8">
        <v>6076.3730821052623</v>
      </c>
      <c r="N19" s="8">
        <f t="shared" si="0"/>
        <v>-18.126510536940817</v>
      </c>
      <c r="O19" s="52">
        <f t="shared" si="4"/>
        <v>-1345.2882174865726</v>
      </c>
      <c r="P19" s="8">
        <v>6120.8621328372083</v>
      </c>
      <c r="Q19" s="8">
        <v>4616.4197199157888</v>
      </c>
      <c r="R19" s="52">
        <f t="shared" si="5"/>
        <v>-1504.4424129214194</v>
      </c>
      <c r="S19" s="8">
        <f t="shared" si="3"/>
        <v>-24.578929900256778</v>
      </c>
      <c r="U19" s="54" t="s">
        <v>24</v>
      </c>
      <c r="V19" s="9">
        <v>25.443786982248529</v>
      </c>
      <c r="W19" s="9">
        <v>12.528647822765473</v>
      </c>
      <c r="X19" s="9">
        <v>-2.6466397941527835</v>
      </c>
      <c r="Y19" s="9">
        <v>11.877329755173442</v>
      </c>
    </row>
    <row r="20" spans="1:25" x14ac:dyDescent="0.2">
      <c r="A20" s="8" t="s">
        <v>33</v>
      </c>
      <c r="B20" s="10" t="s">
        <v>4</v>
      </c>
      <c r="C20" s="17">
        <v>146.55172413793102</v>
      </c>
      <c r="D20" s="17">
        <v>275.86206896551721</v>
      </c>
      <c r="E20" s="17"/>
      <c r="F20" s="17">
        <v>71.687840290381118</v>
      </c>
      <c r="G20" s="17">
        <v>83.93829401088928</v>
      </c>
      <c r="H20" s="17"/>
      <c r="I20" s="17">
        <v>99.818511796733205</v>
      </c>
      <c r="J20" s="17">
        <v>127.04174228675134</v>
      </c>
      <c r="L20" s="8">
        <v>5586.4443180799981</v>
      </c>
      <c r="M20" s="8">
        <v>6884.1318383999997</v>
      </c>
      <c r="N20" s="8">
        <f t="shared" si="0"/>
        <v>23.229221423010678</v>
      </c>
      <c r="O20" s="52">
        <f t="shared" si="4"/>
        <v>1297.6875203200016</v>
      </c>
      <c r="P20" s="8">
        <v>5040.4170225454545</v>
      </c>
      <c r="Q20" s="8">
        <v>5464.6645217391297</v>
      </c>
      <c r="R20" s="52">
        <f t="shared" si="5"/>
        <v>424.24749919367514</v>
      </c>
      <c r="S20" s="8">
        <f t="shared" si="3"/>
        <v>8.4169126740117708</v>
      </c>
      <c r="U20" s="54" t="s">
        <v>26</v>
      </c>
      <c r="V20" s="9">
        <v>22.499999999999993</v>
      </c>
      <c r="W20" s="9">
        <v>19.217687074829929</v>
      </c>
      <c r="X20" s="9">
        <v>74.921196952004337</v>
      </c>
      <c r="Y20" s="9">
        <v>26.691012734096535</v>
      </c>
    </row>
    <row r="21" spans="1:25" x14ac:dyDescent="0.2">
      <c r="A21" s="8" t="s">
        <v>12</v>
      </c>
      <c r="B21" s="10" t="s">
        <v>4</v>
      </c>
      <c r="C21" s="17">
        <v>68.511796733212336</v>
      </c>
      <c r="D21" s="17">
        <v>146.55172413793102</v>
      </c>
      <c r="E21" s="17"/>
      <c r="F21" s="17">
        <v>51.27041742286751</v>
      </c>
      <c r="G21" s="17">
        <v>58.529945553539015</v>
      </c>
      <c r="H21" s="17"/>
      <c r="I21" s="17">
        <v>65.78947368421052</v>
      </c>
      <c r="J21" s="17">
        <v>99.818511796733205</v>
      </c>
      <c r="L21" s="8">
        <v>6529.0099765925897</v>
      </c>
      <c r="M21" s="8">
        <v>8108.6593695000029</v>
      </c>
      <c r="N21" s="8">
        <f t="shared" si="0"/>
        <v>24.194317340158406</v>
      </c>
      <c r="O21" s="52">
        <f t="shared" si="4"/>
        <v>1579.6493929074131</v>
      </c>
      <c r="P21" s="8">
        <v>7058.8835056842072</v>
      </c>
      <c r="Q21" s="8">
        <v>6059.915983599999</v>
      </c>
      <c r="R21" s="52">
        <f t="shared" si="5"/>
        <v>-998.96752208420821</v>
      </c>
      <c r="S21" s="8">
        <f t="shared" si="3"/>
        <v>-14.151919652446225</v>
      </c>
      <c r="U21" s="54" t="s">
        <v>29</v>
      </c>
      <c r="V21" s="9">
        <v>30.729166666666664</v>
      </c>
      <c r="W21" s="9">
        <v>8.9419795221842975</v>
      </c>
      <c r="X21" s="9">
        <v>92.448316752029527</v>
      </c>
      <c r="Y21" s="9">
        <v>72.852968835081128</v>
      </c>
    </row>
    <row r="22" spans="1:25" x14ac:dyDescent="0.2">
      <c r="A22" s="8" t="s">
        <v>34</v>
      </c>
      <c r="B22" s="10" t="s">
        <v>4</v>
      </c>
      <c r="C22" s="17">
        <v>205.53539019963699</v>
      </c>
      <c r="D22" s="17">
        <v>299.90925589836661</v>
      </c>
      <c r="E22" s="17"/>
      <c r="F22" s="17">
        <v>109.80036297640652</v>
      </c>
      <c r="G22" s="17">
        <v>124.31941923774954</v>
      </c>
      <c r="H22" s="17"/>
      <c r="I22" s="17">
        <v>153.81125226860252</v>
      </c>
      <c r="J22" s="17">
        <v>187.84029038112521</v>
      </c>
      <c r="L22" s="8">
        <v>7790.9807846274489</v>
      </c>
      <c r="M22" s="8">
        <v>8081.9110662068942</v>
      </c>
      <c r="N22" s="8">
        <f t="shared" si="0"/>
        <v>3.734193288648409</v>
      </c>
      <c r="O22" s="52">
        <f t="shared" si="4"/>
        <v>290.93028157944536</v>
      </c>
      <c r="P22" s="8">
        <v>5647.6201942068956</v>
      </c>
      <c r="Q22" s="8">
        <v>5274.8457126956509</v>
      </c>
      <c r="R22" s="52">
        <f t="shared" si="5"/>
        <v>-372.77448151124463</v>
      </c>
      <c r="S22" s="8">
        <f t="shared" si="3"/>
        <v>-6.6005586192503154</v>
      </c>
      <c r="U22" s="54" t="s">
        <v>31</v>
      </c>
      <c r="V22" s="9">
        <v>2.7397260273972628</v>
      </c>
      <c r="W22" s="9">
        <v>14.498381877022656</v>
      </c>
      <c r="X22" s="9">
        <v>37.938589570776195</v>
      </c>
      <c r="Y22" s="9">
        <v>0.60192008011004383</v>
      </c>
    </row>
    <row r="23" spans="1:25" x14ac:dyDescent="0.2">
      <c r="A23" s="8" t="s">
        <v>14</v>
      </c>
      <c r="B23" s="10" t="s">
        <v>4</v>
      </c>
      <c r="C23" s="17">
        <v>112.06896551724137</v>
      </c>
      <c r="D23" s="17">
        <v>146.55172413793102</v>
      </c>
      <c r="E23" s="17"/>
      <c r="F23" s="17">
        <v>46.279491833030846</v>
      </c>
      <c r="G23" s="17">
        <v>54.446460980036292</v>
      </c>
      <c r="H23" s="17"/>
      <c r="I23" s="17">
        <v>73.956442831215966</v>
      </c>
      <c r="J23" s="17">
        <v>92.558983666061692</v>
      </c>
      <c r="L23" s="8">
        <v>3516.1035724137923</v>
      </c>
      <c r="M23" s="8">
        <v>4785.6687361311469</v>
      </c>
      <c r="N23" s="8">
        <f t="shared" si="0"/>
        <v>36.107160598963887</v>
      </c>
      <c r="O23" s="52">
        <f t="shared" si="4"/>
        <v>1269.5651637173546</v>
      </c>
      <c r="P23" s="8">
        <v>2644.2915659130426</v>
      </c>
      <c r="Q23" s="8">
        <v>3457.5799996444439</v>
      </c>
      <c r="R23" s="52">
        <f t="shared" si="5"/>
        <v>813.28843373140126</v>
      </c>
      <c r="S23" s="8">
        <f t="shared" si="3"/>
        <v>30.756382700580993</v>
      </c>
      <c r="U23" s="54" t="s">
        <v>6</v>
      </c>
      <c r="V23" s="9">
        <v>6.4356435643564307</v>
      </c>
      <c r="W23" s="9">
        <v>9.6442687747035496</v>
      </c>
      <c r="X23" s="9">
        <v>36.016506434997062</v>
      </c>
      <c r="Y23" s="9">
        <v>4.6672616512566778</v>
      </c>
    </row>
    <row r="24" spans="1:25" x14ac:dyDescent="0.2">
      <c r="A24" s="8" t="s">
        <v>22</v>
      </c>
      <c r="B24" s="10" t="s">
        <v>4</v>
      </c>
      <c r="C24" s="17">
        <v>244.10163339382939</v>
      </c>
      <c r="D24" s="17">
        <v>343.92014519056261</v>
      </c>
      <c r="E24" s="17"/>
      <c r="F24" s="17">
        <v>77.132486388384748</v>
      </c>
      <c r="G24" s="17">
        <v>104.3557168784029</v>
      </c>
      <c r="H24" s="17"/>
      <c r="I24" s="17">
        <v>139.29219600725952</v>
      </c>
      <c r="J24" s="17">
        <v>179.2196007259528</v>
      </c>
      <c r="L24" s="8">
        <v>4839.9505767619057</v>
      </c>
      <c r="M24" s="8">
        <v>5416.7234153846148</v>
      </c>
      <c r="N24" s="8">
        <f t="shared" si="0"/>
        <v>11.916915874967261</v>
      </c>
      <c r="O24" s="52">
        <f t="shared" si="4"/>
        <v>576.77283862270906</v>
      </c>
      <c r="P24" s="8">
        <v>3881.8838449230761</v>
      </c>
      <c r="Q24" s="8">
        <v>3720.7756034594595</v>
      </c>
      <c r="R24" s="52">
        <f t="shared" si="5"/>
        <v>-161.10824146361665</v>
      </c>
      <c r="S24" s="8">
        <f t="shared" si="3"/>
        <v>-4.1502592014524637</v>
      </c>
      <c r="U24" s="54" t="s">
        <v>15</v>
      </c>
      <c r="V24" s="9">
        <v>26.14678899082568</v>
      </c>
      <c r="W24" s="9">
        <v>10.624370594159112</v>
      </c>
      <c r="X24" s="9">
        <v>-23.967102534148502</v>
      </c>
      <c r="Y24" s="9">
        <v>-23.593449170482998</v>
      </c>
    </row>
    <row r="25" spans="1:25" x14ac:dyDescent="0.2">
      <c r="A25" s="8" t="s">
        <v>23</v>
      </c>
      <c r="B25" s="10" t="s">
        <v>4</v>
      </c>
      <c r="C25" s="17">
        <v>175.58983666061704</v>
      </c>
      <c r="D25" s="17">
        <v>314.88203266787656</v>
      </c>
      <c r="E25" s="17"/>
      <c r="F25" s="17">
        <v>46.279491833030846</v>
      </c>
      <c r="G25" s="17">
        <v>61.25226860254083</v>
      </c>
      <c r="H25" s="17"/>
      <c r="I25" s="17">
        <v>95.281306715063508</v>
      </c>
      <c r="J25" s="17">
        <v>129.31034482758619</v>
      </c>
      <c r="L25" s="8">
        <v>5286.8313222857132</v>
      </c>
      <c r="M25" s="8">
        <v>5872.5904091764687</v>
      </c>
      <c r="N25" s="8">
        <f t="shared" si="0"/>
        <v>11.079587207966906</v>
      </c>
      <c r="O25" s="52">
        <f t="shared" si="4"/>
        <v>585.7590868907555</v>
      </c>
      <c r="P25" s="8">
        <v>3895.7363824313729</v>
      </c>
      <c r="Q25" s="8">
        <v>5391.7965123636359</v>
      </c>
      <c r="R25" s="52">
        <f t="shared" si="5"/>
        <v>1496.060129932263</v>
      </c>
      <c r="S25" s="8">
        <f t="shared" si="3"/>
        <v>38.402499118755948</v>
      </c>
      <c r="U25" s="54" t="s">
        <v>17</v>
      </c>
      <c r="V25" s="9">
        <v>2.7272727272727093</v>
      </c>
      <c r="W25" s="9">
        <v>5.7898049087476329</v>
      </c>
      <c r="X25" s="9">
        <v>-1.1860965598505167</v>
      </c>
      <c r="Y25" s="9">
        <v>-13.959903706534474</v>
      </c>
    </row>
    <row r="26" spans="1:25" x14ac:dyDescent="0.2">
      <c r="A26" s="8" t="s">
        <v>24</v>
      </c>
      <c r="B26" s="10" t="s">
        <v>4</v>
      </c>
      <c r="C26" s="17">
        <v>85.753176043557161</v>
      </c>
      <c r="D26" s="17">
        <v>161.07078039927404</v>
      </c>
      <c r="E26" s="17"/>
      <c r="F26" s="17">
        <v>35.843920145190559</v>
      </c>
      <c r="G26" s="17">
        <v>61.705989110707797</v>
      </c>
      <c r="H26" s="17"/>
      <c r="I26" s="17">
        <v>74.8638838475499</v>
      </c>
      <c r="J26" s="17">
        <v>117.05989110707803</v>
      </c>
      <c r="L26" s="8">
        <v>5292.9295808316838</v>
      </c>
      <c r="M26" s="8">
        <v>5152.8448002689083</v>
      </c>
      <c r="N26" s="8">
        <f t="shared" si="0"/>
        <v>-2.6466397941527835</v>
      </c>
      <c r="O26" s="52">
        <f t="shared" si="4"/>
        <v>-140.08478056277545</v>
      </c>
      <c r="P26" s="8">
        <v>4327.0394430638289</v>
      </c>
      <c r="Q26" s="8">
        <v>4840.9761863529402</v>
      </c>
      <c r="R26" s="52">
        <f t="shared" si="5"/>
        <v>513.93674328911129</v>
      </c>
      <c r="S26" s="8">
        <f t="shared" si="3"/>
        <v>11.877329755173442</v>
      </c>
      <c r="U26" s="54" t="s">
        <v>36</v>
      </c>
      <c r="V26" s="9">
        <v>8.5585585585585555</v>
      </c>
      <c r="W26" s="9">
        <v>15.26442307692308</v>
      </c>
      <c r="X26" s="9">
        <v>12.438655284807917</v>
      </c>
      <c r="Y26" s="9">
        <v>24.064499992643761</v>
      </c>
    </row>
    <row r="27" spans="1:25" x14ac:dyDescent="0.2">
      <c r="A27" s="8" t="s">
        <v>26</v>
      </c>
      <c r="B27" s="10" t="s">
        <v>4</v>
      </c>
      <c r="C27" s="17">
        <v>97.549909255898356</v>
      </c>
      <c r="D27" s="17">
        <v>153.81125226860252</v>
      </c>
      <c r="E27" s="17"/>
      <c r="F27" s="17">
        <v>51.27041742286751</v>
      </c>
      <c r="G27" s="17">
        <v>64.42831215970962</v>
      </c>
      <c r="H27" s="17"/>
      <c r="I27" s="17">
        <v>85.299455535390194</v>
      </c>
      <c r="J27" s="17">
        <v>107.53176043557168</v>
      </c>
      <c r="L27" s="8">
        <v>3804.7856362666662</v>
      </c>
      <c r="M27" s="8">
        <v>6655.3765764155869</v>
      </c>
      <c r="N27" s="8">
        <f t="shared" si="0"/>
        <v>74.921196952004337</v>
      </c>
      <c r="O27" s="52">
        <f t="shared" si="4"/>
        <v>2850.5909401489207</v>
      </c>
      <c r="P27" s="8">
        <v>4148.4449291636356</v>
      </c>
      <c r="Q27" s="8">
        <v>5255.7068934736835</v>
      </c>
      <c r="R27" s="52">
        <f t="shared" si="5"/>
        <v>1107.2619643100479</v>
      </c>
      <c r="S27" s="8">
        <f t="shared" si="3"/>
        <v>26.691012734096535</v>
      </c>
      <c r="U27" s="54" t="s">
        <v>19</v>
      </c>
      <c r="V27" s="9">
        <v>11.111111111111121</v>
      </c>
      <c r="W27" s="9">
        <v>13.461538461538462</v>
      </c>
      <c r="X27" s="9">
        <v>-8.2628310371155429</v>
      </c>
      <c r="Y27" s="9">
        <v>1.0923866661571591</v>
      </c>
    </row>
    <row r="28" spans="1:25" x14ac:dyDescent="0.2">
      <c r="A28" s="14" t="s">
        <v>27</v>
      </c>
      <c r="B28" s="10"/>
      <c r="C28" s="15">
        <f>AVERAGE(C16:C27)</f>
        <v>161.07078039927404</v>
      </c>
      <c r="D28" s="15">
        <f>AVERAGE(D16:D27)</f>
        <v>258.65849969751963</v>
      </c>
      <c r="E28" s="18"/>
      <c r="F28" s="15">
        <f>AVERAGE(F16:F27)</f>
        <v>65.297943133696307</v>
      </c>
      <c r="G28" s="15">
        <f>AVERAGE(G16:G27)</f>
        <v>81.06473079249848</v>
      </c>
      <c r="H28" s="18"/>
      <c r="I28" s="15">
        <f>AVERAGE(I16:I27)</f>
        <v>102.72988505747126</v>
      </c>
      <c r="J28" s="15">
        <f>AVERAGE(J16:J27)</f>
        <v>136.83454325468844</v>
      </c>
      <c r="L28" s="8">
        <f>AVERAGE(L16:L27)</f>
        <v>5550.01444853672</v>
      </c>
      <c r="M28" s="8">
        <f t="shared" ref="M28:R28" si="6">AVERAGE(M16:M27)</f>
        <v>6327.5769526422191</v>
      </c>
      <c r="O28" s="52">
        <f t="shared" si="6"/>
        <v>777.56250410549922</v>
      </c>
      <c r="P28" s="8">
        <f t="shared" si="6"/>
        <v>4678.6605489311005</v>
      </c>
      <c r="Q28" s="8">
        <f t="shared" si="6"/>
        <v>4850.4412150112739</v>
      </c>
      <c r="R28" s="52">
        <f t="shared" si="6"/>
        <v>171.78066608017411</v>
      </c>
      <c r="U28" s="54" t="s">
        <v>20</v>
      </c>
      <c r="V28" s="9">
        <v>5.8823529411764754</v>
      </c>
      <c r="W28" s="9">
        <v>10.784313725490186</v>
      </c>
      <c r="X28" s="9">
        <v>12.278478710401076</v>
      </c>
      <c r="Y28" s="9">
        <v>3.9398335328703404</v>
      </c>
    </row>
    <row r="29" spans="1:25" x14ac:dyDescent="0.2">
      <c r="A29" s="14" t="s">
        <v>44</v>
      </c>
      <c r="B29" s="10"/>
      <c r="C29" s="15">
        <f>STDEV(C16:C27)</f>
        <v>65.893647362215546</v>
      </c>
      <c r="D29" s="15">
        <f t="shared" ref="D29:J29" si="7">STDEV(D16:D27)</f>
        <v>84.60894018419576</v>
      </c>
      <c r="E29" s="15"/>
      <c r="F29" s="15">
        <f t="shared" si="7"/>
        <v>23.864348612798857</v>
      </c>
      <c r="G29" s="15">
        <f t="shared" si="7"/>
        <v>25.371739640451384</v>
      </c>
      <c r="H29" s="15"/>
      <c r="I29" s="15">
        <f t="shared" si="7"/>
        <v>29.56469261623548</v>
      </c>
      <c r="J29" s="15">
        <f t="shared" si="7"/>
        <v>33.520345851936163</v>
      </c>
      <c r="L29" s="8">
        <f>STDEV(L16:L27)</f>
        <v>1510.7185326857955</v>
      </c>
      <c r="M29" s="8">
        <f t="shared" ref="M29:R29" si="8">STDEV(M16:M27)</f>
        <v>1400.1944214687692</v>
      </c>
      <c r="O29" s="52">
        <f t="shared" si="8"/>
        <v>1061.448329606699</v>
      </c>
      <c r="P29" s="8">
        <f t="shared" si="8"/>
        <v>1169.54395088447</v>
      </c>
      <c r="Q29" s="8">
        <f t="shared" si="8"/>
        <v>818.66241080047052</v>
      </c>
      <c r="R29" s="52">
        <f t="shared" si="8"/>
        <v>896.01664030601501</v>
      </c>
      <c r="U29" s="54" t="s">
        <v>37</v>
      </c>
      <c r="V29" s="9">
        <v>39.354838709677423</v>
      </c>
      <c r="W29" s="9">
        <v>10.746268656716417</v>
      </c>
      <c r="X29" s="9">
        <v>3.7566835691479379</v>
      </c>
      <c r="Y29" s="9">
        <v>2.1386040939999456</v>
      </c>
    </row>
    <row r="30" spans="1:25" x14ac:dyDescent="0.2">
      <c r="A30" s="14" t="s">
        <v>45</v>
      </c>
      <c r="B30" s="10"/>
      <c r="C30" s="10"/>
      <c r="D30" s="16">
        <f>TTEST(D16:D27,C16:C27,2,1)</f>
        <v>1.0944186093234058E-6</v>
      </c>
      <c r="E30" s="10"/>
      <c r="F30" s="10"/>
      <c r="G30" s="16">
        <f>TTEST(G16:G27,F16:F27,2,1)</f>
        <v>2.6220139855088625E-6</v>
      </c>
      <c r="H30" s="10"/>
      <c r="I30" s="10"/>
      <c r="J30" s="16">
        <f>TTEST(I19:I27,J19:J27,2,1)</f>
        <v>2.0967503692285463E-6</v>
      </c>
      <c r="M30" s="16">
        <f>TTEST(L19:L27,M19:M27,2,1)</f>
        <v>8.4375962299885435E-2</v>
      </c>
      <c r="Q30" s="16">
        <f>TTEST(P19:P27,Q19:Q27,2,1)</f>
        <v>0.66834018106173909</v>
      </c>
      <c r="U30" s="54" t="s">
        <v>21</v>
      </c>
      <c r="V30" s="9">
        <v>38.235294117647037</v>
      </c>
      <c r="W30" s="9">
        <v>22.01257861635219</v>
      </c>
      <c r="X30" s="9">
        <v>31.652623918896978</v>
      </c>
      <c r="Y30" s="9">
        <v>21.805538807829851</v>
      </c>
    </row>
    <row r="31" spans="1:25" x14ac:dyDescent="0.2">
      <c r="A31" s="14" t="s">
        <v>121</v>
      </c>
      <c r="B31" s="10"/>
      <c r="C31" s="10"/>
      <c r="D31" s="16"/>
      <c r="E31" s="10"/>
      <c r="F31" s="10"/>
      <c r="G31" s="16"/>
      <c r="H31" s="10"/>
      <c r="I31" s="10"/>
      <c r="J31" s="16"/>
      <c r="M31" s="16">
        <f>O28/(AVERAGE(L29:M29))</f>
        <v>0.53423961234961204</v>
      </c>
      <c r="Q31" s="16">
        <f>R28/(AVERAGE(P29:Q29))</f>
        <v>0.17279963427397502</v>
      </c>
      <c r="U31" s="54" t="s">
        <v>25</v>
      </c>
      <c r="V31" s="9">
        <v>7.6595744680850935</v>
      </c>
      <c r="W31" s="9">
        <v>11.083743842364543</v>
      </c>
      <c r="X31" s="9">
        <v>31.030747944786942</v>
      </c>
      <c r="Y31" s="9">
        <v>14.351059534017788</v>
      </c>
    </row>
    <row r="32" spans="1:25" x14ac:dyDescent="0.2">
      <c r="A32" s="14"/>
      <c r="B32" s="10"/>
      <c r="C32" s="9"/>
      <c r="D32" s="9"/>
      <c r="E32" s="9"/>
      <c r="F32" s="9"/>
      <c r="G32" s="9"/>
      <c r="H32" s="9"/>
      <c r="I32" s="9"/>
      <c r="J32" s="9"/>
      <c r="U32" s="8" t="s">
        <v>157</v>
      </c>
      <c r="V32" s="53">
        <f>PEARSON(V2:V31,W2:W31)</f>
        <v>0.19808738647718704</v>
      </c>
    </row>
    <row r="33" spans="1:22" x14ac:dyDescent="0.2">
      <c r="A33" s="8" t="s">
        <v>29</v>
      </c>
      <c r="B33" s="10" t="s">
        <v>5</v>
      </c>
      <c r="C33" s="19">
        <v>122.05081669691469</v>
      </c>
      <c r="D33" s="19">
        <v>197.36842105263156</v>
      </c>
      <c r="E33" s="19"/>
      <c r="F33" s="19">
        <v>56.261343012704167</v>
      </c>
      <c r="G33" s="19">
        <v>70.780399274047184</v>
      </c>
      <c r="H33" s="19"/>
      <c r="I33" s="19">
        <v>90.290381125226858</v>
      </c>
      <c r="J33" s="19">
        <v>134.30127041742287</v>
      </c>
      <c r="L33" s="8">
        <v>3048.4416738543041</v>
      </c>
      <c r="M33" s="8">
        <v>5866.674688500002</v>
      </c>
      <c r="N33" s="8">
        <f t="shared" si="0"/>
        <v>92.448316752029527</v>
      </c>
      <c r="O33" s="52">
        <f t="shared" ref="O33:O43" si="9">M33-L33</f>
        <v>2818.2330146456979</v>
      </c>
      <c r="P33" s="8">
        <v>3199.0951149589032</v>
      </c>
      <c r="Q33" s="8">
        <v>5529.7308820645158</v>
      </c>
      <c r="R33" s="52">
        <f>Q33-P33</f>
        <v>2330.6357671056126</v>
      </c>
      <c r="S33" s="8">
        <f t="shared" si="3"/>
        <v>72.852968835081128</v>
      </c>
      <c r="U33" s="8" t="s">
        <v>158</v>
      </c>
      <c r="V33" s="53">
        <f>PEARSON(V2:V31,X2:X31)</f>
        <v>-8.1789763124828427E-2</v>
      </c>
    </row>
    <row r="34" spans="1:22" x14ac:dyDescent="0.2">
      <c r="A34" s="8" t="s">
        <v>31</v>
      </c>
      <c r="B34" s="10" t="s">
        <v>5</v>
      </c>
      <c r="C34" s="19">
        <v>141.56079854809437</v>
      </c>
      <c r="D34" s="19">
        <v>200.09074410163339</v>
      </c>
      <c r="E34" s="19"/>
      <c r="F34" s="19">
        <v>70.326678765880217</v>
      </c>
      <c r="G34" s="19">
        <v>80.308529945553531</v>
      </c>
      <c r="H34" s="19"/>
      <c r="I34" s="19">
        <v>117.05989110707803</v>
      </c>
      <c r="J34" s="19">
        <v>146.55172413793102</v>
      </c>
      <c r="L34" s="8">
        <v>6450.1332805423717</v>
      </c>
      <c r="M34" s="8">
        <v>8897.2228726153844</v>
      </c>
      <c r="N34" s="8">
        <f t="shared" si="0"/>
        <v>37.938589570776195</v>
      </c>
      <c r="O34" s="52">
        <f t="shared" si="9"/>
        <v>2447.0895920730127</v>
      </c>
      <c r="P34" s="8">
        <v>5607.234954754098</v>
      </c>
      <c r="Q34" s="8">
        <v>5640.9860278857122</v>
      </c>
      <c r="R34" s="52">
        <f t="shared" ref="R34:R43" si="10">Q34-P34</f>
        <v>33.751073131614248</v>
      </c>
      <c r="S34" s="8">
        <f t="shared" si="3"/>
        <v>0.60192008011004383</v>
      </c>
      <c r="U34" s="8" t="s">
        <v>159</v>
      </c>
      <c r="V34" s="53">
        <f>PEARSON(V2:V31,Y2:Y31)</f>
        <v>-0.27176730877530164</v>
      </c>
    </row>
    <row r="35" spans="1:22" x14ac:dyDescent="0.2">
      <c r="A35" s="8" t="s">
        <v>6</v>
      </c>
      <c r="B35" s="10" t="s">
        <v>5</v>
      </c>
      <c r="C35" s="19">
        <v>131.57894736842104</v>
      </c>
      <c r="D35" s="19">
        <v>168.33030852994554</v>
      </c>
      <c r="E35" s="19"/>
      <c r="F35" s="19">
        <v>65.78947368421052</v>
      </c>
      <c r="G35" s="19">
        <v>81.215970961887464</v>
      </c>
      <c r="H35" s="19"/>
      <c r="I35" s="19">
        <v>90.290381125226858</v>
      </c>
      <c r="J35" s="19">
        <v>138.38475499092559</v>
      </c>
      <c r="L35" s="8">
        <v>4845.868410234234</v>
      </c>
      <c r="M35" s="8">
        <v>6591.1809180377368</v>
      </c>
      <c r="N35" s="8">
        <f t="shared" si="0"/>
        <v>36.016506434997062</v>
      </c>
      <c r="O35" s="52">
        <f t="shared" si="9"/>
        <v>1745.3125078035027</v>
      </c>
      <c r="P35" s="8">
        <v>3469.9080434626858</v>
      </c>
      <c r="Q35" s="8">
        <v>3631.8577309090906</v>
      </c>
      <c r="R35" s="52">
        <f t="shared" si="10"/>
        <v>161.94968744640482</v>
      </c>
      <c r="S35" s="8">
        <f t="shared" si="3"/>
        <v>4.6672616512566778</v>
      </c>
      <c r="U35" s="8" t="s">
        <v>160</v>
      </c>
      <c r="V35" s="53">
        <f>PEARSON(W2:W31,X2:X31)</f>
        <v>0.22365967860718669</v>
      </c>
    </row>
    <row r="36" spans="1:22" x14ac:dyDescent="0.2">
      <c r="A36" s="8" t="s">
        <v>15</v>
      </c>
      <c r="B36" s="10" t="s">
        <v>5</v>
      </c>
      <c r="C36" s="19">
        <v>291.28856624319417</v>
      </c>
      <c r="D36" s="19">
        <v>375.68058076225043</v>
      </c>
      <c r="E36" s="19"/>
      <c r="F36" s="19">
        <v>93.012704174228674</v>
      </c>
      <c r="G36" s="19">
        <v>99.818511796733205</v>
      </c>
      <c r="H36" s="19"/>
      <c r="I36" s="19">
        <v>134.30127041742287</v>
      </c>
      <c r="J36" s="19">
        <v>190.10889292196006</v>
      </c>
      <c r="L36" s="8">
        <v>9434.5808383333315</v>
      </c>
      <c r="M36" s="8">
        <v>7173.3851751428547</v>
      </c>
      <c r="N36" s="8">
        <f t="shared" si="0"/>
        <v>-23.967102534148502</v>
      </c>
      <c r="O36" s="52">
        <f t="shared" si="9"/>
        <v>-2261.1956631904768</v>
      </c>
      <c r="P36" s="8">
        <v>10377.831083294117</v>
      </c>
      <c r="Q36" s="8">
        <v>7929.3427816585345</v>
      </c>
      <c r="R36" s="52">
        <f t="shared" si="10"/>
        <v>-2448.4883016355825</v>
      </c>
      <c r="S36" s="8">
        <f t="shared" si="3"/>
        <v>-23.593449170482998</v>
      </c>
      <c r="U36" s="8" t="s">
        <v>161</v>
      </c>
      <c r="V36" s="53">
        <f>PEARSON(W2:W31,Y2:Y31)</f>
        <v>0.10090879092879325</v>
      </c>
    </row>
    <row r="37" spans="1:22" x14ac:dyDescent="0.2">
      <c r="A37" s="8" t="s">
        <v>17</v>
      </c>
      <c r="B37" s="10" t="s">
        <v>5</v>
      </c>
      <c r="C37" s="19">
        <v>185.57168784029037</v>
      </c>
      <c r="D37" s="19">
        <v>273.13974591651538</v>
      </c>
      <c r="E37" s="19"/>
      <c r="F37" s="19">
        <v>75.771324863883848</v>
      </c>
      <c r="G37" s="19">
        <v>83.484573502722313</v>
      </c>
      <c r="H37" s="19"/>
      <c r="I37" s="19">
        <v>104.80943738656987</v>
      </c>
      <c r="J37" s="19">
        <v>143.82940108892922</v>
      </c>
      <c r="L37" s="8">
        <v>4796.4648676226425</v>
      </c>
      <c r="M37" s="8">
        <v>4739.5741628333317</v>
      </c>
      <c r="N37" s="8">
        <f t="shared" si="0"/>
        <v>-1.1860965598505167</v>
      </c>
      <c r="O37" s="52">
        <f t="shared" si="9"/>
        <v>-56.890704789310803</v>
      </c>
      <c r="P37" s="8">
        <v>3938.885431876924</v>
      </c>
      <c r="Q37" s="8">
        <v>3389.0208184761909</v>
      </c>
      <c r="R37" s="52">
        <f t="shared" si="10"/>
        <v>-549.86461340073311</v>
      </c>
      <c r="S37" s="8">
        <f t="shared" si="3"/>
        <v>-13.959903706534474</v>
      </c>
    </row>
    <row r="38" spans="1:22" x14ac:dyDescent="0.2">
      <c r="A38" s="8" t="s">
        <v>36</v>
      </c>
      <c r="B38" s="10" t="s">
        <v>5</v>
      </c>
      <c r="C38" s="19">
        <v>172.41379310344826</v>
      </c>
      <c r="D38" s="19">
        <v>226.86025408348456</v>
      </c>
      <c r="E38" s="19"/>
      <c r="F38" s="19">
        <v>99.818511796733205</v>
      </c>
      <c r="G38" s="19">
        <v>114.79128856624318</v>
      </c>
      <c r="H38" s="19"/>
      <c r="I38" s="19">
        <v>115.69872958257713</v>
      </c>
      <c r="J38" s="19">
        <v>147.45916515426495</v>
      </c>
      <c r="L38" s="8">
        <v>5194.1864113777765</v>
      </c>
      <c r="M38" s="8">
        <v>5840.273353939393</v>
      </c>
      <c r="N38" s="8">
        <f t="shared" si="0"/>
        <v>12.438655284807917</v>
      </c>
      <c r="O38" s="52">
        <f t="shared" si="9"/>
        <v>646.08694256161652</v>
      </c>
      <c r="P38" s="8">
        <v>3851.421940487804</v>
      </c>
      <c r="Q38" s="8">
        <v>4778.2473730731717</v>
      </c>
      <c r="R38" s="52">
        <f t="shared" si="10"/>
        <v>926.82543258536771</v>
      </c>
      <c r="S38" s="8">
        <f t="shared" si="3"/>
        <v>24.064499992643761</v>
      </c>
    </row>
    <row r="39" spans="1:22" x14ac:dyDescent="0.2">
      <c r="A39" s="8" t="s">
        <v>19</v>
      </c>
      <c r="B39" s="10" t="s">
        <v>5</v>
      </c>
      <c r="C39" s="19">
        <v>219.60072595281304</v>
      </c>
      <c r="D39" s="19">
        <v>329.40108892921955</v>
      </c>
      <c r="E39" s="19"/>
      <c r="F39" s="19">
        <v>64.42831215970962</v>
      </c>
      <c r="G39" s="19">
        <v>80.308529945553531</v>
      </c>
      <c r="H39" s="19"/>
      <c r="I39" s="19">
        <v>111.16152450090743</v>
      </c>
      <c r="J39" s="19">
        <v>161.07078039927404</v>
      </c>
      <c r="L39" s="8">
        <v>7307.8012037142844</v>
      </c>
      <c r="M39" s="8">
        <v>6703.9699377230772</v>
      </c>
      <c r="N39" s="8">
        <f t="shared" si="0"/>
        <v>-8.2628310371155429</v>
      </c>
      <c r="O39" s="52">
        <f t="shared" si="9"/>
        <v>-603.83126599120715</v>
      </c>
      <c r="P39" s="8">
        <v>6632.3855519999979</v>
      </c>
      <c r="Q39" s="8">
        <v>6704.8368474181798</v>
      </c>
      <c r="R39" s="52">
        <f t="shared" si="10"/>
        <v>72.451295418181871</v>
      </c>
      <c r="S39" s="8">
        <f t="shared" si="3"/>
        <v>1.0923866661571591</v>
      </c>
    </row>
    <row r="40" spans="1:22" x14ac:dyDescent="0.2">
      <c r="A40" s="8" t="s">
        <v>20</v>
      </c>
      <c r="B40" s="10" t="s">
        <v>5</v>
      </c>
      <c r="C40" s="19">
        <v>99.818511796733205</v>
      </c>
      <c r="D40" s="19">
        <v>214.60980036297639</v>
      </c>
      <c r="E40" s="19"/>
      <c r="F40" s="19">
        <v>40.834845735027223</v>
      </c>
      <c r="G40" s="19">
        <v>47.640653357531754</v>
      </c>
      <c r="H40" s="19"/>
      <c r="I40" s="19">
        <v>99.818511796733205</v>
      </c>
      <c r="J40" s="19">
        <v>139.29219600725952</v>
      </c>
      <c r="L40" s="8">
        <v>3731.1843774426238</v>
      </c>
      <c r="M40" s="8">
        <v>4189.3170568727273</v>
      </c>
      <c r="N40" s="8">
        <f t="shared" si="0"/>
        <v>12.278478710401076</v>
      </c>
      <c r="O40" s="52">
        <f t="shared" si="9"/>
        <v>458.13267943010351</v>
      </c>
      <c r="P40" s="8">
        <v>4631.7274260000004</v>
      </c>
      <c r="Q40" s="8">
        <v>4814.2097762807007</v>
      </c>
      <c r="R40" s="52">
        <f t="shared" si="10"/>
        <v>182.4823502807003</v>
      </c>
      <c r="S40" s="8">
        <f t="shared" si="3"/>
        <v>3.9398335328703404</v>
      </c>
    </row>
    <row r="41" spans="1:22" x14ac:dyDescent="0.2">
      <c r="A41" s="8" t="s">
        <v>37</v>
      </c>
      <c r="B41" s="10" t="s">
        <v>5</v>
      </c>
      <c r="C41" s="19">
        <v>156.07985480943736</v>
      </c>
      <c r="D41" s="19">
        <v>281.76043557168782</v>
      </c>
      <c r="E41" s="19"/>
      <c r="F41" s="19">
        <v>62.159709618874771</v>
      </c>
      <c r="G41" s="19">
        <v>65.78947368421052</v>
      </c>
      <c r="H41" s="19"/>
      <c r="I41" s="19">
        <v>97.549909255898356</v>
      </c>
      <c r="J41" s="19">
        <v>141.10707803992739</v>
      </c>
      <c r="L41" s="8">
        <v>6220.8587047441843</v>
      </c>
      <c r="M41" s="8">
        <v>6454.5566815652182</v>
      </c>
      <c r="N41" s="8">
        <f t="shared" si="0"/>
        <v>3.7566835691479379</v>
      </c>
      <c r="O41" s="52">
        <f t="shared" si="9"/>
        <v>233.69797682103399</v>
      </c>
      <c r="P41" s="8">
        <v>4835.6382007999991</v>
      </c>
      <c r="Q41" s="8">
        <v>4939.0533573333332</v>
      </c>
      <c r="R41" s="52">
        <f t="shared" si="10"/>
        <v>103.41515653333408</v>
      </c>
      <c r="S41" s="8">
        <f t="shared" si="3"/>
        <v>2.1386040939999456</v>
      </c>
    </row>
    <row r="42" spans="1:22" x14ac:dyDescent="0.2">
      <c r="A42" s="8" t="s">
        <v>21</v>
      </c>
      <c r="B42" s="10" t="s">
        <v>5</v>
      </c>
      <c r="C42" s="19">
        <v>131.57894736842104</v>
      </c>
      <c r="D42" s="19">
        <v>187.84029038112521</v>
      </c>
      <c r="E42" s="19"/>
      <c r="F42" s="19">
        <v>73.956442831215966</v>
      </c>
      <c r="G42" s="19">
        <v>79.854809437386564</v>
      </c>
      <c r="H42" s="19"/>
      <c r="I42" s="19">
        <v>97.549909255898356</v>
      </c>
      <c r="J42" s="19">
        <v>131.12522686025406</v>
      </c>
      <c r="L42" s="8">
        <v>3677.1841585035977</v>
      </c>
      <c r="M42" s="8">
        <v>4841.109430999998</v>
      </c>
      <c r="N42" s="8">
        <f t="shared" si="0"/>
        <v>31.652623918896978</v>
      </c>
      <c r="O42" s="52">
        <f t="shared" si="9"/>
        <v>1163.9252724964003</v>
      </c>
      <c r="P42" s="8">
        <v>2889.9943980000007</v>
      </c>
      <c r="Q42" s="8">
        <v>3520.1732479999996</v>
      </c>
      <c r="R42" s="52">
        <f t="shared" si="10"/>
        <v>630.17884999999887</v>
      </c>
      <c r="S42" s="8">
        <f t="shared" si="3"/>
        <v>21.805538807829851</v>
      </c>
    </row>
    <row r="43" spans="1:22" x14ac:dyDescent="0.2">
      <c r="A43" s="8" t="s">
        <v>25</v>
      </c>
      <c r="B43" s="10" t="s">
        <v>5</v>
      </c>
      <c r="C43" s="19">
        <v>105.26315789473684</v>
      </c>
      <c r="D43" s="19">
        <v>185.57168784029037</v>
      </c>
      <c r="E43" s="19"/>
      <c r="F43" s="19">
        <v>47.640653357531754</v>
      </c>
      <c r="G43" s="19">
        <v>64.42831215970962</v>
      </c>
      <c r="H43" s="19"/>
      <c r="I43" s="19">
        <v>97.549909255898356</v>
      </c>
      <c r="J43" s="19">
        <v>134.30127041742287</v>
      </c>
      <c r="L43" s="8">
        <v>5743.8183525517234</v>
      </c>
      <c r="M43" s="8">
        <v>7526.1681479384624</v>
      </c>
      <c r="N43" s="8">
        <f t="shared" si="0"/>
        <v>31.030747944786942</v>
      </c>
      <c r="O43" s="52">
        <f t="shared" si="9"/>
        <v>1782.3497953867391</v>
      </c>
      <c r="P43" s="8">
        <v>5466.6943504761894</v>
      </c>
      <c r="Q43" s="8">
        <v>6251.2229112558143</v>
      </c>
      <c r="R43" s="52">
        <f t="shared" si="10"/>
        <v>784.52856077962497</v>
      </c>
      <c r="S43" s="8">
        <f t="shared" si="3"/>
        <v>14.351059534017788</v>
      </c>
    </row>
    <row r="44" spans="1:22" x14ac:dyDescent="0.2">
      <c r="A44" s="14" t="s">
        <v>27</v>
      </c>
      <c r="B44" s="10"/>
      <c r="C44" s="20">
        <f>AVERAGE(C33:C43)</f>
        <v>159.70961887477313</v>
      </c>
      <c r="D44" s="20">
        <f>AVERAGE(D32:D43)</f>
        <v>240.05939613925091</v>
      </c>
      <c r="E44" s="21"/>
      <c r="F44" s="20">
        <f>AVERAGE(F32:F43)</f>
        <v>68.181818181818187</v>
      </c>
      <c r="G44" s="20">
        <f>AVERAGE(G32:G43)</f>
        <v>78.947368421052616</v>
      </c>
      <c r="H44" s="21"/>
      <c r="I44" s="20">
        <f>AVERAGE(I32:I43)</f>
        <v>105.09816861903977</v>
      </c>
      <c r="J44" s="20">
        <f>AVERAGE(J32:J43)</f>
        <v>146.1392509486883</v>
      </c>
      <c r="L44" s="8">
        <f>AVERAGE(L33:L43)</f>
        <v>5495.5020253564608</v>
      </c>
      <c r="M44" s="8">
        <f t="shared" ref="M44:R44" si="11">AVERAGE(M33:M43)</f>
        <v>6256.6756751061994</v>
      </c>
      <c r="O44" s="52">
        <f t="shared" si="11"/>
        <v>761.17364974973748</v>
      </c>
      <c r="P44" s="8">
        <f t="shared" si="11"/>
        <v>4990.983317828247</v>
      </c>
      <c r="Q44" s="8">
        <f t="shared" si="11"/>
        <v>5193.5165231232031</v>
      </c>
      <c r="R44" s="52">
        <f t="shared" si="11"/>
        <v>202.5332052949567</v>
      </c>
    </row>
    <row r="45" spans="1:22" x14ac:dyDescent="0.2">
      <c r="A45" s="14" t="s">
        <v>44</v>
      </c>
      <c r="B45" s="10"/>
      <c r="C45" s="20">
        <f>STDEV(C33:C43)</f>
        <v>56.236089994412161</v>
      </c>
      <c r="D45" s="20">
        <f t="shared" ref="D45" si="12">STDEV(D32:D43)</f>
        <v>66.551520769328576</v>
      </c>
      <c r="E45" s="20"/>
      <c r="F45" s="20">
        <f t="shared" ref="F45:G45" si="13">STDEV(F32:F43)</f>
        <v>17.552699519715805</v>
      </c>
      <c r="G45" s="20">
        <f t="shared" si="13"/>
        <v>17.836468195684365</v>
      </c>
      <c r="H45" s="20"/>
      <c r="I45" s="20">
        <f t="shared" ref="I45:J45" si="14">STDEV(I32:I43)</f>
        <v>13.350910372962987</v>
      </c>
      <c r="J45" s="20">
        <f t="shared" si="14"/>
        <v>16.737865215035555</v>
      </c>
      <c r="L45" s="8">
        <f>STDEV(L33:L43)</f>
        <v>1835.9891945038455</v>
      </c>
      <c r="M45" s="8">
        <f t="shared" ref="M45:R45" si="15">STDEV(M33:M43)</f>
        <v>1366.7650809465883</v>
      </c>
      <c r="O45" s="52">
        <f t="shared" si="15"/>
        <v>1459.3778816544645</v>
      </c>
      <c r="P45" s="8">
        <f t="shared" si="15"/>
        <v>2116.9740661591059</v>
      </c>
      <c r="Q45" s="8">
        <f t="shared" si="15"/>
        <v>1416.9326208956552</v>
      </c>
      <c r="R45" s="52">
        <f t="shared" si="15"/>
        <v>1150.0573377374915</v>
      </c>
    </row>
    <row r="46" spans="1:22" x14ac:dyDescent="0.2">
      <c r="A46" s="14" t="s">
        <v>45</v>
      </c>
      <c r="B46" s="10"/>
      <c r="C46" s="10"/>
      <c r="D46" s="16">
        <f>TTEST(D33:D43,C33:C43,2,1)</f>
        <v>2.4823993829454965E-6</v>
      </c>
      <c r="E46" s="10"/>
      <c r="F46" s="10"/>
      <c r="G46" s="16">
        <f>TTEST(G33:G43,F33:F43,2,1)</f>
        <v>2.2739492935783253E-5</v>
      </c>
      <c r="H46" s="10"/>
      <c r="I46" s="10"/>
      <c r="J46" s="16">
        <f>TTEST(I35:I43,J35:J43,2,1)</f>
        <v>2.6292664075919793E-7</v>
      </c>
      <c r="M46" s="16">
        <f>TTEST(L35:L43,M35:M43,2,1)</f>
        <v>0.43424724731893993</v>
      </c>
      <c r="N46" s="16"/>
      <c r="Q46" s="16">
        <f>TTEST(P35:P43,Q35:Q43,2,1)</f>
        <v>0.96533940642643656</v>
      </c>
    </row>
    <row r="47" spans="1:22" x14ac:dyDescent="0.2">
      <c r="A47" s="8" t="s">
        <v>121</v>
      </c>
      <c r="M47" s="53">
        <f>O44/(AVERAGE(L45:M45))</f>
        <v>0.47532441410459836</v>
      </c>
      <c r="N47" s="53"/>
      <c r="O47" s="55"/>
      <c r="P47" s="53"/>
      <c r="Q47" s="53">
        <f>R44/(AVERAGE(P45:Q45))</f>
        <v>0.11462283712066688</v>
      </c>
    </row>
    <row r="49" spans="13:13" x14ac:dyDescent="0.2">
      <c r="M49" s="8">
        <f>TTEST(L2:L10:L16:L27:L33:L43,M16:M27:M33:M43:M2:M10,2,1)</f>
        <v>5.21917970955989E-4</v>
      </c>
    </row>
  </sheetData>
  <sortState xmlns:xlrd2="http://schemas.microsoft.com/office/spreadsheetml/2017/richdata2" ref="A3:H34">
    <sortCondition ref="B3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999"/>
  <sheetViews>
    <sheetView zoomScaleNormal="100" workbookViewId="0">
      <selection activeCell="P1" sqref="A1:XFD1"/>
    </sheetView>
  </sheetViews>
  <sheetFormatPr defaultColWidth="9.140625" defaultRowHeight="12.75" x14ac:dyDescent="0.2"/>
  <cols>
    <col min="1" max="2" width="15.85546875" style="12" customWidth="1"/>
    <col min="3" max="4" width="12.7109375" style="12" customWidth="1"/>
    <col min="5" max="5" width="15" style="12" customWidth="1"/>
    <col min="6" max="6" width="13.140625" style="12" customWidth="1"/>
    <col min="7" max="7" width="13.85546875" style="12" customWidth="1"/>
    <col min="8" max="8" width="9.7109375" style="12" customWidth="1"/>
    <col min="9" max="9" width="15.7109375" style="12" customWidth="1"/>
    <col min="10" max="10" width="18.5703125" style="12" customWidth="1"/>
    <col min="11" max="12" width="9.42578125" style="12" bestFit="1" customWidth="1"/>
    <col min="13" max="13" width="8.85546875" style="12" customWidth="1"/>
    <col min="14" max="14" width="9.140625" style="12"/>
    <col min="15" max="15" width="9.42578125" style="12" bestFit="1" customWidth="1"/>
    <col min="16" max="16384" width="9.140625" style="12"/>
  </cols>
  <sheetData>
    <row r="1" spans="1:29" ht="15" x14ac:dyDescent="0.25">
      <c r="A1" s="8" t="s">
        <v>28</v>
      </c>
      <c r="B1" s="8"/>
      <c r="C1" s="8" t="s">
        <v>38</v>
      </c>
      <c r="D1" s="8" t="s">
        <v>39</v>
      </c>
      <c r="E1" s="8" t="s">
        <v>99</v>
      </c>
      <c r="F1" s="8" t="s">
        <v>40</v>
      </c>
      <c r="G1" s="8" t="s">
        <v>41</v>
      </c>
      <c r="H1" s="8" t="s">
        <v>100</v>
      </c>
      <c r="I1" s="8" t="s">
        <v>42</v>
      </c>
      <c r="J1" s="8" t="s">
        <v>43</v>
      </c>
      <c r="K1" s="8" t="s">
        <v>101</v>
      </c>
      <c r="L1" t="s">
        <v>102</v>
      </c>
      <c r="M1" t="s">
        <v>103</v>
      </c>
      <c r="N1" s="12" t="s">
        <v>104</v>
      </c>
      <c r="O1" t="s">
        <v>105</v>
      </c>
      <c r="P1" t="s">
        <v>106</v>
      </c>
      <c r="Q1" s="12" t="s">
        <v>107</v>
      </c>
      <c r="R1" t="s">
        <v>108</v>
      </c>
      <c r="S1" t="s">
        <v>109</v>
      </c>
      <c r="T1" s="12" t="s">
        <v>110</v>
      </c>
      <c r="U1" t="s">
        <v>111</v>
      </c>
      <c r="V1" t="s">
        <v>112</v>
      </c>
      <c r="W1" s="12" t="s">
        <v>113</v>
      </c>
      <c r="X1" t="s">
        <v>114</v>
      </c>
      <c r="Y1" t="s">
        <v>115</v>
      </c>
      <c r="Z1" s="12" t="s">
        <v>116</v>
      </c>
      <c r="AA1" t="s">
        <v>117</v>
      </c>
      <c r="AB1" t="s">
        <v>118</v>
      </c>
      <c r="AC1" s="12" t="s">
        <v>119</v>
      </c>
    </row>
    <row r="2" spans="1:29" x14ac:dyDescent="0.2">
      <c r="A2" s="13" t="s">
        <v>1</v>
      </c>
      <c r="B2" s="11" t="s">
        <v>2</v>
      </c>
      <c r="C2" s="10">
        <v>64.400000000000006</v>
      </c>
      <c r="D2" s="10">
        <v>68.099999999999994</v>
      </c>
      <c r="E2" s="10">
        <v>3.6999999999999886</v>
      </c>
      <c r="F2" s="10">
        <v>40.9</v>
      </c>
      <c r="G2" s="10">
        <v>46.5</v>
      </c>
      <c r="H2" s="10">
        <f>G2-F2</f>
        <v>5.6000000000000014</v>
      </c>
      <c r="I2" s="10">
        <v>1.64</v>
      </c>
      <c r="J2" s="10">
        <v>2.52</v>
      </c>
      <c r="K2" s="10">
        <f>J2-I2</f>
        <v>0.88000000000000012</v>
      </c>
      <c r="L2" s="12">
        <v>151.5</v>
      </c>
      <c r="M2" s="12">
        <v>181.4</v>
      </c>
      <c r="N2" s="12">
        <f>M2-L2</f>
        <v>29.900000000000006</v>
      </c>
      <c r="O2" s="12">
        <v>74.099999999999994</v>
      </c>
      <c r="P2" s="12">
        <v>77.599999999999994</v>
      </c>
      <c r="Q2" s="12">
        <f>P2-O2</f>
        <v>3.5</v>
      </c>
      <c r="R2" s="12">
        <v>135.30000000000001</v>
      </c>
      <c r="S2" s="12">
        <v>158.69999999999999</v>
      </c>
      <c r="T2" s="12">
        <f>S2-R2</f>
        <v>23.399999999999977</v>
      </c>
      <c r="U2" s="12">
        <v>106.6</v>
      </c>
      <c r="V2" s="12">
        <v>134.9</v>
      </c>
      <c r="W2" s="12">
        <f>V2-U2</f>
        <v>28.300000000000011</v>
      </c>
      <c r="X2" s="12">
        <v>16.2</v>
      </c>
      <c r="Y2" s="12">
        <v>22.6</v>
      </c>
      <c r="Z2" s="12">
        <f>Y2-X2</f>
        <v>6.4000000000000021</v>
      </c>
      <c r="AA2" s="12">
        <v>100.7</v>
      </c>
      <c r="AB2" s="12">
        <v>127.7</v>
      </c>
      <c r="AC2" s="12">
        <f>AB2-AA2</f>
        <v>27</v>
      </c>
    </row>
    <row r="3" spans="1:29" x14ac:dyDescent="0.2">
      <c r="A3" s="13" t="s">
        <v>30</v>
      </c>
      <c r="B3" s="11" t="s">
        <v>2</v>
      </c>
      <c r="C3" s="10">
        <v>57</v>
      </c>
      <c r="D3" s="10">
        <v>58</v>
      </c>
      <c r="E3" s="10">
        <v>1</v>
      </c>
      <c r="F3" s="10">
        <v>14.9</v>
      </c>
      <c r="G3" s="10">
        <v>14.5</v>
      </c>
      <c r="H3" s="10">
        <f t="shared" ref="H3:H10" si="0">G3-F3</f>
        <v>-0.40000000000000036</v>
      </c>
      <c r="I3" s="10">
        <v>1.61</v>
      </c>
      <c r="J3" s="10">
        <v>1.68</v>
      </c>
      <c r="K3" s="10">
        <f t="shared" ref="K3:K10" si="1">J3-I3</f>
        <v>6.999999999999984E-2</v>
      </c>
      <c r="L3" s="12">
        <v>145.80000000000001</v>
      </c>
      <c r="M3" s="12">
        <v>152.5</v>
      </c>
      <c r="N3" s="12">
        <f t="shared" ref="N3:N10" si="2">M3-L3</f>
        <v>6.6999999999999886</v>
      </c>
      <c r="O3" s="12">
        <v>78.2</v>
      </c>
      <c r="P3" s="12">
        <v>79.400000000000006</v>
      </c>
      <c r="Q3" s="12">
        <f t="shared" ref="Q3:Q10" si="3">P3-O3</f>
        <v>1.2000000000000028</v>
      </c>
      <c r="R3" s="12">
        <v>139.19999999999999</v>
      </c>
      <c r="S3" s="12">
        <v>145.80000000000001</v>
      </c>
      <c r="T3" s="12">
        <f t="shared" ref="T3:T10" si="4">S3-R3</f>
        <v>6.6000000000000227</v>
      </c>
      <c r="U3" s="12">
        <v>53.7</v>
      </c>
      <c r="V3" s="12">
        <v>51</v>
      </c>
      <c r="W3" s="12">
        <f t="shared" ref="W3:W10" si="5">V3-U3</f>
        <v>-2.7000000000000028</v>
      </c>
      <c r="X3" s="12">
        <v>6.6</v>
      </c>
      <c r="Y3" s="12">
        <v>6.7</v>
      </c>
      <c r="Z3" s="12">
        <f t="shared" ref="Z3:Z10" si="6">Y3-X3</f>
        <v>0.10000000000000053</v>
      </c>
      <c r="AA3" s="12">
        <v>49.6</v>
      </c>
      <c r="AB3" s="12">
        <v>46.5</v>
      </c>
      <c r="AC3" s="12">
        <f t="shared" ref="AC3:AC10" si="7">AB3-AA3</f>
        <v>-3.1000000000000014</v>
      </c>
    </row>
    <row r="4" spans="1:29" x14ac:dyDescent="0.2">
      <c r="A4" s="13" t="s">
        <v>7</v>
      </c>
      <c r="B4" s="11" t="s">
        <v>2</v>
      </c>
      <c r="C4" s="10">
        <v>47.1</v>
      </c>
      <c r="D4" s="10">
        <v>48.1</v>
      </c>
      <c r="E4" s="10">
        <v>1</v>
      </c>
      <c r="F4" s="10">
        <v>10.3</v>
      </c>
      <c r="G4" s="10">
        <v>8.4</v>
      </c>
      <c r="H4" s="10">
        <f t="shared" si="0"/>
        <v>-1.9000000000000004</v>
      </c>
      <c r="I4" s="10">
        <v>1.1299999999999999</v>
      </c>
      <c r="J4" s="10">
        <v>2.1</v>
      </c>
      <c r="K4" s="10">
        <f t="shared" si="1"/>
        <v>0.9700000000000002</v>
      </c>
      <c r="L4" s="12">
        <v>107.9</v>
      </c>
      <c r="M4" s="12">
        <v>120.5</v>
      </c>
      <c r="N4" s="12">
        <f t="shared" si="2"/>
        <v>12.599999999999994</v>
      </c>
      <c r="O4" s="12">
        <v>77.8</v>
      </c>
      <c r="P4" s="12">
        <v>79.400000000000006</v>
      </c>
      <c r="Q4" s="12">
        <f t="shared" si="3"/>
        <v>1.6000000000000085</v>
      </c>
      <c r="R4" s="12">
        <v>105.7</v>
      </c>
      <c r="S4" s="12">
        <v>118.7</v>
      </c>
      <c r="T4" s="12">
        <f t="shared" si="4"/>
        <v>13</v>
      </c>
      <c r="U4" s="12">
        <v>28.6</v>
      </c>
      <c r="V4" s="12">
        <v>24.9</v>
      </c>
      <c r="W4" s="12">
        <f t="shared" si="5"/>
        <v>-3.7000000000000028</v>
      </c>
      <c r="X4" s="12">
        <v>2.2000000000000002</v>
      </c>
      <c r="Y4" s="12">
        <v>1.8</v>
      </c>
      <c r="Z4" s="12">
        <f t="shared" si="6"/>
        <v>-0.40000000000000013</v>
      </c>
      <c r="AA4" s="12">
        <v>25.1</v>
      </c>
      <c r="AB4" s="12">
        <v>21.3</v>
      </c>
      <c r="AC4" s="12">
        <f t="shared" si="7"/>
        <v>-3.8000000000000007</v>
      </c>
    </row>
    <row r="5" spans="1:29" x14ac:dyDescent="0.2">
      <c r="A5" s="13" t="s">
        <v>8</v>
      </c>
      <c r="B5" s="11" t="s">
        <v>2</v>
      </c>
      <c r="C5" s="10">
        <v>56.4</v>
      </c>
      <c r="D5" s="10">
        <v>58.6</v>
      </c>
      <c r="E5" s="10">
        <v>2.2000000000000028</v>
      </c>
      <c r="F5" s="10">
        <v>9.3000000000000007</v>
      </c>
      <c r="G5" s="10">
        <v>10.8</v>
      </c>
      <c r="H5" s="10">
        <f t="shared" si="0"/>
        <v>1.5</v>
      </c>
      <c r="I5" s="10">
        <v>2.0299999999999998</v>
      </c>
      <c r="J5" s="10">
        <v>2.46</v>
      </c>
      <c r="K5" s="10">
        <f t="shared" si="1"/>
        <v>0.43000000000000016</v>
      </c>
      <c r="L5" s="12">
        <v>139.6</v>
      </c>
      <c r="M5" s="12">
        <v>151.5</v>
      </c>
      <c r="N5" s="12">
        <f t="shared" si="2"/>
        <v>11.900000000000006</v>
      </c>
      <c r="O5" s="12">
        <v>77.5</v>
      </c>
      <c r="P5" s="12">
        <v>78.2</v>
      </c>
      <c r="Q5" s="12">
        <f t="shared" si="3"/>
        <v>0.70000000000000284</v>
      </c>
      <c r="R5" s="12">
        <v>135.30000000000001</v>
      </c>
      <c r="S5" s="12">
        <v>146.5</v>
      </c>
      <c r="T5" s="12">
        <f t="shared" si="4"/>
        <v>11.199999999999989</v>
      </c>
      <c r="U5" s="12">
        <v>32.6</v>
      </c>
      <c r="V5" s="12">
        <v>36</v>
      </c>
      <c r="W5" s="12">
        <f t="shared" si="5"/>
        <v>3.3999999999999986</v>
      </c>
      <c r="X5" s="12">
        <v>4.3</v>
      </c>
      <c r="Y5" s="12">
        <v>4.9000000000000004</v>
      </c>
      <c r="Z5" s="12">
        <f t="shared" si="6"/>
        <v>0.60000000000000053</v>
      </c>
      <c r="AA5" s="12">
        <v>28.4</v>
      </c>
      <c r="AB5" s="12">
        <v>31.6</v>
      </c>
      <c r="AC5" s="12">
        <f t="shared" si="7"/>
        <v>3.2000000000000028</v>
      </c>
    </row>
    <row r="6" spans="1:29" x14ac:dyDescent="0.2">
      <c r="A6" s="13" t="s">
        <v>11</v>
      </c>
      <c r="B6" s="11" t="s">
        <v>2</v>
      </c>
      <c r="C6" s="10">
        <v>51.8</v>
      </c>
      <c r="D6" s="10">
        <v>52.8</v>
      </c>
      <c r="E6" s="10">
        <v>1</v>
      </c>
      <c r="F6" s="10">
        <v>7.7</v>
      </c>
      <c r="G6" s="10">
        <v>7.1</v>
      </c>
      <c r="H6" s="10">
        <f t="shared" si="0"/>
        <v>-0.60000000000000053</v>
      </c>
      <c r="I6" s="10">
        <v>2.1</v>
      </c>
      <c r="J6" s="10">
        <v>2.5099999999999998</v>
      </c>
      <c r="K6" s="10">
        <f t="shared" si="1"/>
        <v>0.4099999999999997</v>
      </c>
      <c r="L6" s="12">
        <v>139.69999999999999</v>
      </c>
      <c r="M6" s="12">
        <v>147.4</v>
      </c>
      <c r="N6" s="12">
        <f t="shared" si="2"/>
        <v>7.7000000000000171</v>
      </c>
      <c r="O6" s="12">
        <v>77.900000000000006</v>
      </c>
      <c r="P6" s="12">
        <v>78.599999999999994</v>
      </c>
      <c r="Q6" s="12">
        <f t="shared" si="3"/>
        <v>0.69999999999998863</v>
      </c>
      <c r="R6" s="12">
        <v>136.19999999999999</v>
      </c>
      <c r="S6" s="12">
        <v>143.4</v>
      </c>
      <c r="T6" s="12">
        <f t="shared" si="4"/>
        <v>7.2000000000000171</v>
      </c>
      <c r="U6" s="12">
        <v>20.6</v>
      </c>
      <c r="V6" s="12">
        <v>18.7</v>
      </c>
      <c r="W6" s="12">
        <f t="shared" si="5"/>
        <v>-1.9000000000000021</v>
      </c>
      <c r="X6" s="12">
        <v>3.5</v>
      </c>
      <c r="Y6" s="12">
        <v>4.0999999999999996</v>
      </c>
      <c r="Z6" s="12">
        <f t="shared" si="6"/>
        <v>0.59999999999999964</v>
      </c>
      <c r="AA6" s="12">
        <v>16.7</v>
      </c>
      <c r="AB6" s="12">
        <v>14.7</v>
      </c>
      <c r="AC6" s="12">
        <f t="shared" si="7"/>
        <v>-2</v>
      </c>
    </row>
    <row r="7" spans="1:29" x14ac:dyDescent="0.2">
      <c r="A7" s="13" t="s">
        <v>13</v>
      </c>
      <c r="B7" s="11" t="s">
        <v>2</v>
      </c>
      <c r="C7" s="10">
        <v>66.3</v>
      </c>
      <c r="D7" s="10">
        <v>68.400000000000006</v>
      </c>
      <c r="E7" s="10">
        <v>2.1000000000000085</v>
      </c>
      <c r="F7" s="10">
        <v>26.1</v>
      </c>
      <c r="G7" s="10">
        <v>25.7</v>
      </c>
      <c r="H7" s="10">
        <f t="shared" si="0"/>
        <v>-0.40000000000000213</v>
      </c>
      <c r="I7" s="10">
        <v>1.37</v>
      </c>
      <c r="J7" s="10">
        <v>2.66</v>
      </c>
      <c r="K7" s="10">
        <f t="shared" si="1"/>
        <v>1.29</v>
      </c>
      <c r="L7" s="12">
        <v>154</v>
      </c>
      <c r="M7" s="12">
        <v>202.8</v>
      </c>
      <c r="N7" s="12">
        <f t="shared" si="2"/>
        <v>48.800000000000011</v>
      </c>
      <c r="O7" s="12">
        <v>75.8</v>
      </c>
      <c r="P7" s="12">
        <v>79.5</v>
      </c>
      <c r="Q7" s="12">
        <f t="shared" si="3"/>
        <v>3.7000000000000028</v>
      </c>
      <c r="R7" s="12">
        <v>140.5</v>
      </c>
      <c r="S7" s="12">
        <v>180.2</v>
      </c>
      <c r="T7" s="12">
        <f t="shared" si="4"/>
        <v>39.699999999999989</v>
      </c>
      <c r="U7" s="12">
        <v>78.400000000000006</v>
      </c>
      <c r="V7" s="12">
        <v>94.9</v>
      </c>
      <c r="W7" s="12">
        <f t="shared" si="5"/>
        <v>16.5</v>
      </c>
      <c r="X7" s="12">
        <v>13.5</v>
      </c>
      <c r="Y7" s="12">
        <v>22.6</v>
      </c>
      <c r="Z7" s="12">
        <f t="shared" si="6"/>
        <v>9.1000000000000014</v>
      </c>
      <c r="AA7" s="12">
        <v>72.900000000000006</v>
      </c>
      <c r="AB7" s="12">
        <v>87.6</v>
      </c>
      <c r="AC7" s="12">
        <f t="shared" si="7"/>
        <v>14.699999999999989</v>
      </c>
    </row>
    <row r="8" spans="1:29" x14ac:dyDescent="0.2">
      <c r="A8" s="13" t="s">
        <v>35</v>
      </c>
      <c r="B8" s="11" t="s">
        <v>2</v>
      </c>
      <c r="C8" s="10">
        <v>60.3</v>
      </c>
      <c r="D8" s="10">
        <v>61.4</v>
      </c>
      <c r="E8" s="10">
        <v>1.1000000000000014</v>
      </c>
      <c r="F8" s="10">
        <v>14.3</v>
      </c>
      <c r="G8" s="10">
        <v>13.6</v>
      </c>
      <c r="H8" s="10">
        <f t="shared" si="0"/>
        <v>-0.70000000000000107</v>
      </c>
      <c r="I8" s="10">
        <v>1.31</v>
      </c>
      <c r="J8" s="10">
        <v>2.0499999999999998</v>
      </c>
      <c r="K8" s="10">
        <f t="shared" si="1"/>
        <v>0.73999999999999977</v>
      </c>
      <c r="L8" s="12">
        <v>156.4</v>
      </c>
      <c r="M8" s="12">
        <v>160.80000000000001</v>
      </c>
      <c r="N8" s="12">
        <f t="shared" si="2"/>
        <v>4.4000000000000057</v>
      </c>
      <c r="O8" s="12">
        <v>79.599999999999994</v>
      </c>
      <c r="P8" s="12">
        <v>80.2</v>
      </c>
      <c r="Q8" s="12">
        <f t="shared" si="3"/>
        <v>0.60000000000000853</v>
      </c>
      <c r="R8" s="12">
        <v>149.80000000000001</v>
      </c>
      <c r="S8" s="12">
        <v>154.6</v>
      </c>
      <c r="T8" s="12">
        <f t="shared" si="4"/>
        <v>4.7999999999999829</v>
      </c>
      <c r="U8" s="12">
        <v>52.9</v>
      </c>
      <c r="V8" s="12">
        <v>50.7</v>
      </c>
      <c r="W8" s="12">
        <f t="shared" si="5"/>
        <v>-2.1999999999999957</v>
      </c>
      <c r="X8" s="12">
        <v>6.6</v>
      </c>
      <c r="Y8" s="12">
        <v>6.3</v>
      </c>
      <c r="Z8" s="12">
        <f t="shared" si="6"/>
        <v>-0.29999999999999982</v>
      </c>
      <c r="AA8" s="12">
        <v>48.6</v>
      </c>
      <c r="AB8" s="12">
        <v>46.2</v>
      </c>
      <c r="AC8" s="12">
        <f t="shared" si="7"/>
        <v>-2.3999999999999986</v>
      </c>
    </row>
    <row r="9" spans="1:29" x14ac:dyDescent="0.2">
      <c r="A9" s="13" t="s">
        <v>16</v>
      </c>
      <c r="B9" s="11" t="s">
        <v>2</v>
      </c>
      <c r="C9" s="10">
        <v>49.2</v>
      </c>
      <c r="D9" s="10">
        <v>51.2</v>
      </c>
      <c r="E9" s="10">
        <v>2</v>
      </c>
      <c r="F9" s="10">
        <v>22.8</v>
      </c>
      <c r="G9" s="10">
        <v>23.4</v>
      </c>
      <c r="H9" s="10">
        <f t="shared" si="0"/>
        <v>0.59999999999999787</v>
      </c>
      <c r="I9" s="10">
        <v>1.99</v>
      </c>
      <c r="J9" s="10">
        <v>2.48</v>
      </c>
      <c r="K9" s="10">
        <f t="shared" si="1"/>
        <v>0.49</v>
      </c>
      <c r="L9" s="12">
        <v>122.2</v>
      </c>
      <c r="M9" s="12">
        <v>137.30000000000001</v>
      </c>
      <c r="N9" s="12">
        <f t="shared" si="2"/>
        <v>15.100000000000009</v>
      </c>
      <c r="O9" s="12">
        <v>77.400000000000006</v>
      </c>
      <c r="P9" s="12">
        <v>77.5</v>
      </c>
      <c r="Q9" s="12">
        <f t="shared" si="3"/>
        <v>9.9999999999994316E-2</v>
      </c>
      <c r="R9" s="12">
        <v>118</v>
      </c>
      <c r="S9" s="12">
        <v>132</v>
      </c>
      <c r="T9" s="12">
        <f t="shared" si="4"/>
        <v>14</v>
      </c>
      <c r="U9" s="12">
        <v>53.5</v>
      </c>
      <c r="V9" s="12">
        <v>58.1</v>
      </c>
      <c r="W9" s="12">
        <f t="shared" si="5"/>
        <v>4.6000000000000014</v>
      </c>
      <c r="X9" s="12">
        <v>4.3</v>
      </c>
      <c r="Y9" s="12">
        <v>5.3</v>
      </c>
      <c r="Z9" s="12">
        <f t="shared" si="6"/>
        <v>1</v>
      </c>
      <c r="AA9" s="12">
        <v>49.5</v>
      </c>
      <c r="AB9" s="12">
        <v>53.6</v>
      </c>
      <c r="AC9" s="12">
        <f t="shared" si="7"/>
        <v>4.1000000000000014</v>
      </c>
    </row>
    <row r="10" spans="1:29" s="51" customFormat="1" ht="13.5" thickBot="1" x14ac:dyDescent="0.25">
      <c r="A10" s="24" t="s">
        <v>18</v>
      </c>
      <c r="B10" s="25" t="s">
        <v>2</v>
      </c>
      <c r="C10" s="26">
        <v>61.2</v>
      </c>
      <c r="D10" s="26">
        <v>61.7</v>
      </c>
      <c r="E10" s="26">
        <v>0.5</v>
      </c>
      <c r="F10" s="26">
        <v>9</v>
      </c>
      <c r="G10" s="26">
        <v>10.9</v>
      </c>
      <c r="H10" s="26">
        <f t="shared" si="0"/>
        <v>1.9000000000000004</v>
      </c>
      <c r="I10" s="26">
        <v>3.11</v>
      </c>
      <c r="J10" s="26">
        <v>3.88</v>
      </c>
      <c r="K10" s="26">
        <f t="shared" si="1"/>
        <v>0.77</v>
      </c>
      <c r="L10" s="51">
        <v>179.8</v>
      </c>
      <c r="M10" s="51">
        <v>192.4</v>
      </c>
      <c r="N10" s="51">
        <f t="shared" si="2"/>
        <v>12.599999999999994</v>
      </c>
      <c r="O10" s="51">
        <v>78.3</v>
      </c>
      <c r="P10" s="51">
        <v>79.3</v>
      </c>
      <c r="Q10" s="51">
        <f t="shared" si="3"/>
        <v>1</v>
      </c>
      <c r="R10" s="51">
        <v>171.6</v>
      </c>
      <c r="S10" s="51">
        <v>181.9</v>
      </c>
      <c r="T10" s="51">
        <f t="shared" si="4"/>
        <v>10.300000000000011</v>
      </c>
      <c r="U10" s="51">
        <v>23.1</v>
      </c>
      <c r="V10" s="51">
        <v>29.2</v>
      </c>
      <c r="W10" s="51">
        <f t="shared" si="5"/>
        <v>6.0999999999999979</v>
      </c>
      <c r="X10" s="51">
        <v>8.1</v>
      </c>
      <c r="Y10" s="51">
        <v>10.5</v>
      </c>
      <c r="Z10" s="51">
        <f t="shared" si="6"/>
        <v>2.4000000000000004</v>
      </c>
      <c r="AA10" s="51">
        <v>18.399999999999999</v>
      </c>
      <c r="AB10" s="51">
        <v>24.1</v>
      </c>
      <c r="AC10" s="51">
        <f t="shared" si="7"/>
        <v>5.7000000000000028</v>
      </c>
    </row>
    <row r="11" spans="1:29" ht="13.5" thickTop="1" x14ac:dyDescent="0.2">
      <c r="A11" s="14" t="s">
        <v>27</v>
      </c>
      <c r="B11" s="11"/>
      <c r="C11" s="15">
        <f>AVERAGE(C2:C10)</f>
        <v>57.077777777777783</v>
      </c>
      <c r="D11" s="15">
        <f>AVERAGE(D2:D10)</f>
        <v>58.699999999999996</v>
      </c>
      <c r="E11" s="22">
        <v>1.6222222222222225</v>
      </c>
      <c r="F11" s="15">
        <f>AVERAGE(F2:F10)</f>
        <v>17.255555555555553</v>
      </c>
      <c r="G11" s="15">
        <f>AVERAGE(G2:G10)</f>
        <v>17.87777777777778</v>
      </c>
      <c r="H11" s="15">
        <f t="shared" ref="H11" si="8">AVERAGE(H2:H10)</f>
        <v>0.62222222222222168</v>
      </c>
      <c r="I11" s="15">
        <f>AVERAGE(I2:I10)</f>
        <v>1.8099999999999998</v>
      </c>
      <c r="J11" s="15">
        <f>AVERAGE(J2:J10)</f>
        <v>2.4822222222222221</v>
      </c>
      <c r="K11" s="15">
        <f t="shared" ref="K11:AC11" si="9">AVERAGE(K2:K10)</f>
        <v>0.67222222222222228</v>
      </c>
      <c r="L11" s="27">
        <f t="shared" si="9"/>
        <v>144.1</v>
      </c>
      <c r="M11" s="27">
        <f t="shared" si="9"/>
        <v>160.73333333333332</v>
      </c>
      <c r="N11" s="27">
        <f t="shared" si="9"/>
        <v>16.633333333333336</v>
      </c>
      <c r="O11" s="27">
        <f t="shared" si="9"/>
        <v>77.399999999999991</v>
      </c>
      <c r="P11" s="27">
        <f t="shared" si="9"/>
        <v>78.855555555555554</v>
      </c>
      <c r="Q11" s="27">
        <f t="shared" si="9"/>
        <v>1.4555555555555566</v>
      </c>
      <c r="R11" s="27">
        <f t="shared" si="9"/>
        <v>136.84444444444443</v>
      </c>
      <c r="S11" s="27">
        <f t="shared" si="9"/>
        <v>151.3111111111111</v>
      </c>
      <c r="T11" s="27">
        <f t="shared" si="9"/>
        <v>14.466666666666665</v>
      </c>
      <c r="U11" s="27">
        <f t="shared" si="9"/>
        <v>50</v>
      </c>
      <c r="V11" s="27">
        <f t="shared" si="9"/>
        <v>55.377777777777773</v>
      </c>
      <c r="W11" s="27">
        <f t="shared" si="9"/>
        <v>5.3777777777777782</v>
      </c>
      <c r="X11" s="27">
        <f t="shared" si="9"/>
        <v>7.2555555555555555</v>
      </c>
      <c r="Y11" s="27">
        <f t="shared" si="9"/>
        <v>9.4222222222222225</v>
      </c>
      <c r="Z11" s="27">
        <f t="shared" si="9"/>
        <v>2.1666666666666674</v>
      </c>
      <c r="AA11" s="27">
        <f t="shared" si="9"/>
        <v>45.544444444444444</v>
      </c>
      <c r="AB11" s="27">
        <f t="shared" si="9"/>
        <v>50.366666666666667</v>
      </c>
      <c r="AC11" s="27">
        <f t="shared" si="9"/>
        <v>4.8222222222222211</v>
      </c>
    </row>
    <row r="12" spans="1:29" x14ac:dyDescent="0.2">
      <c r="A12" s="14" t="s">
        <v>44</v>
      </c>
      <c r="B12" s="11"/>
      <c r="C12" s="15">
        <f>STDEV(C2:C10)</f>
        <v>6.6706030045599078</v>
      </c>
      <c r="D12" s="15">
        <f>STDEV(D2:D10)</f>
        <v>7.0945401542313435</v>
      </c>
      <c r="E12" s="23">
        <v>0.98</v>
      </c>
      <c r="F12" s="15">
        <f>STDEV(F2:F10)</f>
        <v>10.916972005907946</v>
      </c>
      <c r="G12" s="15">
        <f>STDEV(G2:G10)</f>
        <v>12.476956537731642</v>
      </c>
      <c r="H12" s="15">
        <f t="shared" ref="H12" si="10">STDEV(H2:H10)</f>
        <v>2.2044147623449737</v>
      </c>
      <c r="I12" s="15">
        <f>STDEV(I2:I10)</f>
        <v>0.59474784572959982</v>
      </c>
      <c r="J12" s="15">
        <f>STDEV(J2:J10)</f>
        <v>0.60874415351972333</v>
      </c>
      <c r="K12" s="15">
        <f t="shared" ref="K12:AC12" si="11">STDEV(K2:K10)</f>
        <v>0.36244923016119712</v>
      </c>
      <c r="L12" s="27">
        <f t="shared" si="11"/>
        <v>20.64915252498291</v>
      </c>
      <c r="M12" s="27">
        <f t="shared" si="11"/>
        <v>26.688386987602073</v>
      </c>
      <c r="N12" s="27">
        <f t="shared" si="11"/>
        <v>14.124977876088874</v>
      </c>
      <c r="O12" s="27">
        <f t="shared" si="11"/>
        <v>1.5874507866387553</v>
      </c>
      <c r="P12" s="27">
        <f t="shared" si="11"/>
        <v>0.93020308415839037</v>
      </c>
      <c r="Q12" s="27">
        <f t="shared" si="11"/>
        <v>1.2856040517117939</v>
      </c>
      <c r="R12" s="27">
        <f t="shared" si="11"/>
        <v>18.455968622041546</v>
      </c>
      <c r="S12" s="27">
        <f t="shared" si="11"/>
        <v>20.57962854648045</v>
      </c>
      <c r="T12" s="27">
        <f t="shared" si="11"/>
        <v>10.926229907886791</v>
      </c>
      <c r="U12" s="27">
        <f t="shared" si="11"/>
        <v>28.269152799473847</v>
      </c>
      <c r="V12" s="27">
        <f t="shared" si="11"/>
        <v>37.531945652263282</v>
      </c>
      <c r="W12" s="27">
        <f t="shared" si="11"/>
        <v>10.678339966701028</v>
      </c>
      <c r="X12" s="27">
        <f t="shared" si="11"/>
        <v>4.7130433668467102</v>
      </c>
      <c r="Y12" s="27">
        <f t="shared" si="11"/>
        <v>7.8222084122352848</v>
      </c>
      <c r="Z12" s="27">
        <f t="shared" si="11"/>
        <v>3.3402844190278174</v>
      </c>
      <c r="AA12" s="27">
        <f t="shared" si="11"/>
        <v>27.641956836985656</v>
      </c>
      <c r="AB12" s="27">
        <f t="shared" si="11"/>
        <v>36.346664221080857</v>
      </c>
      <c r="AC12" s="27">
        <f t="shared" si="11"/>
        <v>10.180591556704572</v>
      </c>
    </row>
    <row r="13" spans="1:29" x14ac:dyDescent="0.2">
      <c r="A13" s="14" t="s">
        <v>45</v>
      </c>
      <c r="B13" s="11"/>
      <c r="C13" s="23"/>
      <c r="D13" s="16">
        <f>TTEST(C2:C10,D2:D10,2,1)</f>
        <v>1.1130798171698345E-3</v>
      </c>
      <c r="E13" s="23"/>
      <c r="F13" s="23"/>
      <c r="G13" s="16">
        <f>TTEST(G2:G10,F2:F10,2,1)</f>
        <v>0.42172155496370134</v>
      </c>
      <c r="H13" s="10"/>
      <c r="I13" s="23"/>
      <c r="J13" s="16">
        <f>TTEST(I2:I10,J2:J10,2,1)</f>
        <v>5.3217156192005065E-4</v>
      </c>
      <c r="K13" s="16"/>
    </row>
    <row r="14" spans="1:29" x14ac:dyDescent="0.2">
      <c r="A14" s="13"/>
      <c r="B14" s="11"/>
      <c r="C14" s="10"/>
      <c r="D14" s="10"/>
      <c r="E14" s="10"/>
      <c r="F14" s="10"/>
      <c r="G14" s="10"/>
      <c r="H14" s="10"/>
      <c r="I14" s="10"/>
      <c r="J14" s="10"/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9" x14ac:dyDescent="0.2">
      <c r="A15" s="13" t="s">
        <v>3</v>
      </c>
      <c r="B15" s="11" t="s">
        <v>4</v>
      </c>
      <c r="C15" s="10">
        <v>58.7</v>
      </c>
      <c r="D15" s="10">
        <v>61.2</v>
      </c>
      <c r="E15" s="10">
        <v>2.5</v>
      </c>
      <c r="F15" s="10">
        <v>19.2</v>
      </c>
      <c r="G15" s="10">
        <v>17.600000000000001</v>
      </c>
      <c r="H15" s="10">
        <f>G15-F15</f>
        <v>-1.5999999999999979</v>
      </c>
      <c r="I15" s="10">
        <v>2.1</v>
      </c>
      <c r="J15" s="10">
        <v>2.29</v>
      </c>
      <c r="K15" s="10">
        <f>J15-I15</f>
        <v>0.18999999999999995</v>
      </c>
      <c r="L15" s="11">
        <v>155.5</v>
      </c>
      <c r="M15" s="11">
        <v>174.2</v>
      </c>
      <c r="N15" s="12">
        <f>M15-L15</f>
        <v>18.699999999999989</v>
      </c>
      <c r="O15" s="11">
        <v>77.599999999999994</v>
      </c>
      <c r="P15" s="11">
        <v>78.900000000000006</v>
      </c>
      <c r="Q15" s="12">
        <f>P15-O15</f>
        <v>1.3000000000000114</v>
      </c>
      <c r="R15" s="11">
        <v>146.69999999999999</v>
      </c>
      <c r="S15" s="11">
        <v>164.4</v>
      </c>
      <c r="T15" s="12">
        <f>S15-R15</f>
        <v>17.700000000000017</v>
      </c>
      <c r="U15" s="11">
        <v>47.4</v>
      </c>
      <c r="V15" s="11">
        <v>47.8</v>
      </c>
      <c r="W15" s="12">
        <f>V15-U15</f>
        <v>0.39999999999999858</v>
      </c>
      <c r="X15" s="11">
        <v>8.8000000000000007</v>
      </c>
      <c r="Y15" s="11">
        <v>9.8000000000000007</v>
      </c>
      <c r="Z15" s="12">
        <f>Y15-X15</f>
        <v>1</v>
      </c>
      <c r="AA15" s="12">
        <v>42.7</v>
      </c>
      <c r="AB15" s="12">
        <v>42.8</v>
      </c>
      <c r="AC15" s="12">
        <f>AB15-AA15</f>
        <v>9.9999999999994316E-2</v>
      </c>
    </row>
    <row r="16" spans="1:29" x14ac:dyDescent="0.2">
      <c r="A16" s="13" t="s">
        <v>9</v>
      </c>
      <c r="B16" s="11" t="s">
        <v>4</v>
      </c>
      <c r="C16" s="10">
        <v>57.2</v>
      </c>
      <c r="D16" s="10">
        <v>58.7</v>
      </c>
      <c r="E16" s="10">
        <v>1.5</v>
      </c>
      <c r="F16" s="10">
        <v>30.9</v>
      </c>
      <c r="G16" s="10">
        <v>26.7</v>
      </c>
      <c r="H16" s="10">
        <f t="shared" ref="H16:H26" si="12">G16-F16</f>
        <v>-4.1999999999999993</v>
      </c>
      <c r="I16" s="10">
        <v>2.46</v>
      </c>
      <c r="J16" s="10">
        <v>2.34</v>
      </c>
      <c r="K16" s="10">
        <f t="shared" ref="K16:K26" si="13">J16-I16</f>
        <v>-0.12000000000000011</v>
      </c>
      <c r="L16" s="11">
        <v>142.9</v>
      </c>
      <c r="M16" s="11">
        <v>143.1</v>
      </c>
      <c r="N16" s="12">
        <f t="shared" ref="N16:N26" si="14">M16-L16</f>
        <v>0.19999999999998863</v>
      </c>
      <c r="O16" s="12">
        <v>76.599999999999994</v>
      </c>
      <c r="P16" s="11">
        <v>78.8</v>
      </c>
      <c r="Q16" s="12">
        <f t="shared" ref="Q16:Q26" si="15">P16-O16</f>
        <v>2.2000000000000028</v>
      </c>
      <c r="R16" s="11">
        <v>130.9</v>
      </c>
      <c r="S16" s="11">
        <v>132.69999999999999</v>
      </c>
      <c r="T16" s="12">
        <f t="shared" ref="T16:T26" si="16">S16-R16</f>
        <v>1.7999999999999829</v>
      </c>
      <c r="U16" s="11">
        <v>93.6</v>
      </c>
      <c r="V16" s="11">
        <v>84.8</v>
      </c>
      <c r="W16" s="12">
        <f t="shared" ref="W16:W26" si="17">V16-U16</f>
        <v>-8.7999999999999972</v>
      </c>
      <c r="X16" s="11">
        <v>12</v>
      </c>
      <c r="Y16" s="11">
        <v>10.4</v>
      </c>
      <c r="Z16" s="12">
        <f t="shared" ref="Z16:Z26" si="18">Y16-X16</f>
        <v>-1.5999999999999996</v>
      </c>
      <c r="AA16" s="12">
        <v>88.6</v>
      </c>
      <c r="AB16" s="12">
        <v>79.900000000000006</v>
      </c>
      <c r="AC16" s="12">
        <f t="shared" ref="AC16:AC26" si="19">AB16-AA16</f>
        <v>-8.6999999999999886</v>
      </c>
    </row>
    <row r="17" spans="1:29" x14ac:dyDescent="0.2">
      <c r="A17" s="13" t="s">
        <v>32</v>
      </c>
      <c r="B17" s="11" t="s">
        <v>4</v>
      </c>
      <c r="C17" s="10">
        <v>51.7</v>
      </c>
      <c r="D17" s="10">
        <v>55.6</v>
      </c>
      <c r="E17" s="10">
        <v>3.8999999999999986</v>
      </c>
      <c r="F17" s="10">
        <v>14.9</v>
      </c>
      <c r="G17" s="10">
        <v>15.5</v>
      </c>
      <c r="H17" s="10">
        <f t="shared" si="12"/>
        <v>0.59999999999999964</v>
      </c>
      <c r="I17" s="10">
        <v>1.73</v>
      </c>
      <c r="J17" s="10">
        <v>2.1800000000000002</v>
      </c>
      <c r="K17" s="10">
        <f t="shared" si="13"/>
        <v>0.45000000000000018</v>
      </c>
      <c r="L17" s="11">
        <v>132.9</v>
      </c>
      <c r="M17" s="11">
        <v>148.6</v>
      </c>
      <c r="N17" s="12">
        <f t="shared" si="14"/>
        <v>15.699999999999989</v>
      </c>
      <c r="O17" s="12">
        <v>78.5</v>
      </c>
      <c r="P17" s="11">
        <v>79.8</v>
      </c>
      <c r="Q17" s="12">
        <f t="shared" si="15"/>
        <v>1.2999999999999972</v>
      </c>
      <c r="R17" s="11">
        <v>127.8</v>
      </c>
      <c r="S17" s="11">
        <v>142.80000000000001</v>
      </c>
      <c r="T17" s="12">
        <f t="shared" si="16"/>
        <v>15.000000000000014</v>
      </c>
      <c r="U17" s="11">
        <v>57.1</v>
      </c>
      <c r="V17" s="11">
        <v>58.7</v>
      </c>
      <c r="W17" s="12">
        <f t="shared" si="17"/>
        <v>1.6000000000000014</v>
      </c>
      <c r="X17" s="11">
        <v>5</v>
      </c>
      <c r="Y17" s="11">
        <v>5.7</v>
      </c>
      <c r="Z17" s="12">
        <f t="shared" si="18"/>
        <v>0.70000000000000018</v>
      </c>
      <c r="AA17" s="12">
        <v>52.8</v>
      </c>
      <c r="AB17" s="12">
        <v>54.2</v>
      </c>
      <c r="AC17" s="12">
        <f t="shared" si="19"/>
        <v>1.4000000000000057</v>
      </c>
    </row>
    <row r="18" spans="1:29" x14ac:dyDescent="0.2">
      <c r="A18" s="13" t="s">
        <v>10</v>
      </c>
      <c r="B18" s="11" t="s">
        <v>4</v>
      </c>
      <c r="C18" s="10">
        <v>66.099999999999994</v>
      </c>
      <c r="D18" s="10">
        <v>70</v>
      </c>
      <c r="E18" s="10">
        <v>3.9000000000000057</v>
      </c>
      <c r="F18" s="10">
        <v>9.3000000000000007</v>
      </c>
      <c r="G18" s="10">
        <v>8.5</v>
      </c>
      <c r="H18" s="10">
        <f t="shared" si="12"/>
        <v>-0.80000000000000071</v>
      </c>
      <c r="I18" s="10">
        <v>2.5099999999999998</v>
      </c>
      <c r="J18" s="10">
        <v>2.94</v>
      </c>
      <c r="K18" s="10">
        <f t="shared" si="13"/>
        <v>0.43000000000000016</v>
      </c>
      <c r="L18" s="11">
        <v>178.6</v>
      </c>
      <c r="M18" s="11">
        <v>184.7</v>
      </c>
      <c r="N18" s="12">
        <f t="shared" si="14"/>
        <v>6.0999999999999943</v>
      </c>
      <c r="O18" s="12">
        <v>77.599999999999994</v>
      </c>
      <c r="P18" s="11">
        <v>78.3</v>
      </c>
      <c r="Q18" s="12">
        <f t="shared" si="15"/>
        <v>0.70000000000000284</v>
      </c>
      <c r="R18" s="11">
        <v>166.2</v>
      </c>
      <c r="S18" s="11">
        <v>174.4</v>
      </c>
      <c r="T18" s="12">
        <f t="shared" si="16"/>
        <v>8.2000000000000171</v>
      </c>
      <c r="U18" s="11">
        <v>32.9</v>
      </c>
      <c r="V18" s="11">
        <v>29.5</v>
      </c>
      <c r="W18" s="12">
        <f t="shared" si="17"/>
        <v>-3.3999999999999986</v>
      </c>
      <c r="X18" s="11">
        <v>12.4</v>
      </c>
      <c r="Y18" s="11">
        <v>10.3</v>
      </c>
      <c r="Z18" s="12">
        <f t="shared" si="18"/>
        <v>-2.0999999999999996</v>
      </c>
      <c r="AA18" s="12">
        <v>28</v>
      </c>
      <c r="AB18" s="12">
        <v>24.3</v>
      </c>
      <c r="AC18" s="12">
        <f t="shared" si="19"/>
        <v>-3.6999999999999993</v>
      </c>
    </row>
    <row r="19" spans="1:29" x14ac:dyDescent="0.2">
      <c r="A19" s="13" t="s">
        <v>33</v>
      </c>
      <c r="B19" s="11" t="s">
        <v>4</v>
      </c>
      <c r="C19" s="10">
        <v>53.9</v>
      </c>
      <c r="D19" s="10">
        <v>55.6</v>
      </c>
      <c r="E19" s="10">
        <v>1.7000000000000028</v>
      </c>
      <c r="F19" s="10">
        <v>17.7</v>
      </c>
      <c r="G19" s="10">
        <v>17.3</v>
      </c>
      <c r="H19" s="10">
        <f t="shared" si="12"/>
        <v>-0.39999999999999858</v>
      </c>
      <c r="I19" s="10">
        <v>1.82</v>
      </c>
      <c r="J19" s="10">
        <v>2.62</v>
      </c>
      <c r="K19" s="10">
        <f t="shared" si="13"/>
        <v>0.8</v>
      </c>
      <c r="L19" s="11">
        <v>144.69999999999999</v>
      </c>
      <c r="M19" s="11">
        <v>156.69999999999999</v>
      </c>
      <c r="N19" s="12">
        <f t="shared" si="14"/>
        <v>12</v>
      </c>
      <c r="O19" s="12">
        <v>78.2</v>
      </c>
      <c r="P19" s="11">
        <v>80.2</v>
      </c>
      <c r="Q19" s="12">
        <f t="shared" si="15"/>
        <v>2</v>
      </c>
      <c r="R19" s="11">
        <v>137.30000000000001</v>
      </c>
      <c r="S19" s="11">
        <v>150.69999999999999</v>
      </c>
      <c r="T19" s="12">
        <f t="shared" si="16"/>
        <v>13.399999999999977</v>
      </c>
      <c r="U19" s="11">
        <v>46.4</v>
      </c>
      <c r="V19" s="11">
        <v>49.4</v>
      </c>
      <c r="W19" s="12">
        <f t="shared" si="17"/>
        <v>3</v>
      </c>
      <c r="X19" s="11">
        <v>7.3</v>
      </c>
      <c r="Y19" s="11">
        <v>6</v>
      </c>
      <c r="Z19" s="12">
        <f t="shared" si="18"/>
        <v>-1.2999999999999998</v>
      </c>
      <c r="AA19" s="12">
        <v>42.2</v>
      </c>
      <c r="AB19" s="12">
        <v>44.9</v>
      </c>
      <c r="AC19" s="12">
        <f t="shared" si="19"/>
        <v>2.6999999999999957</v>
      </c>
    </row>
    <row r="20" spans="1:29" x14ac:dyDescent="0.2">
      <c r="A20" s="13" t="s">
        <v>12</v>
      </c>
      <c r="B20" s="11" t="s">
        <v>4</v>
      </c>
      <c r="C20" s="10">
        <v>44.3</v>
      </c>
      <c r="D20" s="10">
        <v>44.6</v>
      </c>
      <c r="E20" s="10">
        <v>0.30000000000000426</v>
      </c>
      <c r="F20" s="10">
        <v>12.6</v>
      </c>
      <c r="G20" s="10">
        <v>11.2</v>
      </c>
      <c r="H20" s="10">
        <f t="shared" si="12"/>
        <v>-1.4000000000000004</v>
      </c>
      <c r="I20" s="10">
        <v>1.46</v>
      </c>
      <c r="J20" s="10">
        <v>2.09</v>
      </c>
      <c r="K20" s="10">
        <f t="shared" si="13"/>
        <v>0.62999999999999989</v>
      </c>
      <c r="L20" s="11">
        <v>111</v>
      </c>
      <c r="M20" s="11">
        <v>118.6</v>
      </c>
      <c r="N20" s="12">
        <f t="shared" si="14"/>
        <v>7.5999999999999943</v>
      </c>
      <c r="O20" s="12">
        <v>77.8</v>
      </c>
      <c r="P20" s="11">
        <v>78.900000000000006</v>
      </c>
      <c r="Q20" s="12">
        <f t="shared" si="15"/>
        <v>1.1000000000000085</v>
      </c>
      <c r="R20" s="11">
        <v>108.4</v>
      </c>
      <c r="S20" s="11">
        <v>113.6</v>
      </c>
      <c r="T20" s="12">
        <f t="shared" si="16"/>
        <v>5.1999999999999886</v>
      </c>
      <c r="U20" s="11">
        <v>39.700000000000003</v>
      </c>
      <c r="V20" s="11">
        <v>36</v>
      </c>
      <c r="W20" s="12">
        <f t="shared" si="17"/>
        <v>-3.7000000000000028</v>
      </c>
      <c r="X20" s="11">
        <v>2.7</v>
      </c>
      <c r="Y20" s="11">
        <v>5</v>
      </c>
      <c r="Z20" s="12">
        <f t="shared" si="18"/>
        <v>2.2999999999999998</v>
      </c>
      <c r="AA20" s="12">
        <v>36.1</v>
      </c>
      <c r="AB20" s="12">
        <v>32.4</v>
      </c>
      <c r="AC20" s="12">
        <f t="shared" si="19"/>
        <v>-3.7000000000000028</v>
      </c>
    </row>
    <row r="21" spans="1:29" x14ac:dyDescent="0.2">
      <c r="A21" s="13" t="s">
        <v>34</v>
      </c>
      <c r="B21" s="11" t="s">
        <v>4</v>
      </c>
      <c r="C21" s="10">
        <v>69</v>
      </c>
      <c r="D21" s="10">
        <v>68.400000000000006</v>
      </c>
      <c r="E21" s="10">
        <v>-0.59999999999999432</v>
      </c>
      <c r="F21" s="10">
        <v>27.7</v>
      </c>
      <c r="G21" s="10">
        <v>28.2</v>
      </c>
      <c r="H21" s="10">
        <f t="shared" si="12"/>
        <v>0.5</v>
      </c>
      <c r="I21" s="10">
        <v>1.87</v>
      </c>
      <c r="J21" s="10">
        <v>3.04</v>
      </c>
      <c r="K21" s="10">
        <f t="shared" si="13"/>
        <v>1.17</v>
      </c>
      <c r="L21" s="11">
        <v>184.4</v>
      </c>
      <c r="M21" s="11">
        <v>199.9</v>
      </c>
      <c r="N21" s="12">
        <f t="shared" si="14"/>
        <v>15.5</v>
      </c>
      <c r="O21" s="12">
        <v>76.400000000000006</v>
      </c>
      <c r="P21" s="11">
        <v>78.3</v>
      </c>
      <c r="Q21" s="12">
        <f t="shared" si="15"/>
        <v>1.8999999999999915</v>
      </c>
      <c r="R21" s="11">
        <v>167.5</v>
      </c>
      <c r="S21" s="11">
        <v>182.6</v>
      </c>
      <c r="T21" s="12">
        <f t="shared" si="16"/>
        <v>15.099999999999994</v>
      </c>
      <c r="U21" s="11">
        <v>63.8</v>
      </c>
      <c r="V21" s="11">
        <v>66</v>
      </c>
      <c r="W21" s="12">
        <f t="shared" si="17"/>
        <v>2.2000000000000028</v>
      </c>
      <c r="X21" s="11">
        <v>16.8</v>
      </c>
      <c r="Y21" s="11">
        <v>17.3</v>
      </c>
      <c r="Z21" s="12">
        <f t="shared" si="18"/>
        <v>0.5</v>
      </c>
      <c r="AA21" s="12">
        <v>58.2</v>
      </c>
      <c r="AB21" s="12">
        <v>60.1</v>
      </c>
      <c r="AC21" s="12">
        <f t="shared" si="19"/>
        <v>1.8999999999999986</v>
      </c>
    </row>
    <row r="22" spans="1:29" x14ac:dyDescent="0.2">
      <c r="A22" s="13" t="s">
        <v>14</v>
      </c>
      <c r="B22" s="11" t="s">
        <v>4</v>
      </c>
      <c r="C22" s="10">
        <v>46.4</v>
      </c>
      <c r="D22" s="10">
        <v>44.6</v>
      </c>
      <c r="E22" s="10">
        <v>-1.7999999999999972</v>
      </c>
      <c r="F22" s="10">
        <v>25.3</v>
      </c>
      <c r="G22" s="10">
        <v>22.7</v>
      </c>
      <c r="H22" s="10">
        <f t="shared" si="12"/>
        <v>-2.6000000000000014</v>
      </c>
      <c r="I22" s="10">
        <v>1.82</v>
      </c>
      <c r="J22" s="10">
        <v>2.06</v>
      </c>
      <c r="K22" s="10">
        <f t="shared" si="13"/>
        <v>0.24</v>
      </c>
      <c r="L22" s="11">
        <v>114.8</v>
      </c>
      <c r="M22" s="11">
        <v>123</v>
      </c>
      <c r="N22" s="12">
        <f t="shared" si="14"/>
        <v>8.2000000000000028</v>
      </c>
      <c r="O22" s="12">
        <v>75.2</v>
      </c>
      <c r="P22" s="11">
        <v>79.3</v>
      </c>
      <c r="Q22" s="12">
        <f t="shared" si="15"/>
        <v>4.0999999999999943</v>
      </c>
      <c r="R22" s="11">
        <v>109.3</v>
      </c>
      <c r="S22" s="11">
        <v>117.9</v>
      </c>
      <c r="T22" s="12">
        <f t="shared" si="16"/>
        <v>8.6000000000000085</v>
      </c>
      <c r="U22" s="11">
        <v>70</v>
      </c>
      <c r="V22" s="11">
        <v>66.400000000000006</v>
      </c>
      <c r="W22" s="12">
        <f t="shared" si="17"/>
        <v>-3.5999999999999943</v>
      </c>
      <c r="X22" s="11">
        <v>5.6</v>
      </c>
      <c r="Y22" s="11">
        <v>5.0999999999999996</v>
      </c>
      <c r="Z22" s="12">
        <f t="shared" si="18"/>
        <v>-0.5</v>
      </c>
      <c r="AA22" s="12">
        <v>65.900000000000006</v>
      </c>
      <c r="AB22" s="12">
        <v>62</v>
      </c>
      <c r="AC22" s="12">
        <f t="shared" si="19"/>
        <v>-3.9000000000000057</v>
      </c>
    </row>
    <row r="23" spans="1:29" x14ac:dyDescent="0.2">
      <c r="A23" s="13" t="s">
        <v>22</v>
      </c>
      <c r="B23" s="11" t="s">
        <v>4</v>
      </c>
      <c r="C23" s="10">
        <v>57</v>
      </c>
      <c r="D23" s="10">
        <v>61.7</v>
      </c>
      <c r="E23" s="10">
        <v>4.7000000000000028</v>
      </c>
      <c r="F23" s="10">
        <v>25</v>
      </c>
      <c r="G23" s="10">
        <v>25.4</v>
      </c>
      <c r="H23" s="10">
        <f t="shared" si="12"/>
        <v>0.39999999999999858</v>
      </c>
      <c r="I23" s="10">
        <v>1.57</v>
      </c>
      <c r="J23" s="10">
        <v>2.39</v>
      </c>
      <c r="K23" s="10">
        <f t="shared" si="13"/>
        <v>0.82000000000000006</v>
      </c>
      <c r="L23" s="11">
        <v>141.80000000000001</v>
      </c>
      <c r="M23" s="11">
        <v>170.5</v>
      </c>
      <c r="N23" s="12">
        <f t="shared" si="14"/>
        <v>28.699999999999989</v>
      </c>
      <c r="O23" s="12">
        <v>75.900000000000006</v>
      </c>
      <c r="P23" s="11">
        <v>78.7</v>
      </c>
      <c r="Q23" s="12">
        <f t="shared" si="15"/>
        <v>2.7999999999999972</v>
      </c>
      <c r="R23" s="11">
        <v>131.1</v>
      </c>
      <c r="S23" s="11">
        <v>156.69999999999999</v>
      </c>
      <c r="T23" s="12">
        <f t="shared" si="16"/>
        <v>25.599999999999994</v>
      </c>
      <c r="U23" s="11">
        <v>62.6</v>
      </c>
      <c r="V23" s="11">
        <v>67.099999999999994</v>
      </c>
      <c r="W23" s="12">
        <f t="shared" si="17"/>
        <v>4.4999999999999929</v>
      </c>
      <c r="X23" s="11">
        <v>10.7</v>
      </c>
      <c r="Y23" s="11">
        <v>13.9</v>
      </c>
      <c r="Z23" s="12">
        <f t="shared" si="18"/>
        <v>3.2000000000000011</v>
      </c>
      <c r="AA23" s="12">
        <v>57.9</v>
      </c>
      <c r="AB23" s="12">
        <v>61.3</v>
      </c>
      <c r="AC23" s="12">
        <f t="shared" si="19"/>
        <v>3.3999999999999986</v>
      </c>
    </row>
    <row r="24" spans="1:29" x14ac:dyDescent="0.2">
      <c r="A24" s="13" t="s">
        <v>23</v>
      </c>
      <c r="B24" s="11" t="s">
        <v>4</v>
      </c>
      <c r="C24" s="10">
        <v>61.4</v>
      </c>
      <c r="D24" s="10">
        <v>60.7</v>
      </c>
      <c r="E24" s="10">
        <v>-0.69999999999999574</v>
      </c>
      <c r="F24" s="10">
        <v>40.6</v>
      </c>
      <c r="G24" s="10">
        <v>42</v>
      </c>
      <c r="H24" s="10">
        <f t="shared" si="12"/>
        <v>1.3999999999999986</v>
      </c>
      <c r="I24" s="10">
        <v>1.22</v>
      </c>
      <c r="J24" s="10">
        <v>1.03</v>
      </c>
      <c r="K24" s="10">
        <f t="shared" si="13"/>
        <v>-0.18999999999999995</v>
      </c>
      <c r="L24" s="11">
        <v>144.30000000000001</v>
      </c>
      <c r="M24" s="11">
        <v>161.19999999999999</v>
      </c>
      <c r="N24" s="12">
        <f t="shared" si="14"/>
        <v>16.899999999999977</v>
      </c>
      <c r="O24" s="11">
        <v>77</v>
      </c>
      <c r="P24" s="11">
        <v>77.400000000000006</v>
      </c>
      <c r="Q24" s="12">
        <f t="shared" si="15"/>
        <v>0.40000000000000568</v>
      </c>
      <c r="R24" s="11">
        <v>128.19999999999999</v>
      </c>
      <c r="S24" s="11">
        <v>142.6</v>
      </c>
      <c r="T24" s="12">
        <f t="shared" si="16"/>
        <v>14.400000000000006</v>
      </c>
      <c r="U24" s="11">
        <v>136.4</v>
      </c>
      <c r="V24" s="11">
        <v>141.69999999999999</v>
      </c>
      <c r="W24" s="12">
        <f t="shared" si="17"/>
        <v>5.2999999999999829</v>
      </c>
      <c r="X24" s="11">
        <v>16.100000000000001</v>
      </c>
      <c r="Y24" s="11">
        <v>18.600000000000001</v>
      </c>
      <c r="Z24" s="12">
        <f t="shared" si="18"/>
        <v>2.5</v>
      </c>
      <c r="AA24" s="12">
        <v>130.6</v>
      </c>
      <c r="AB24" s="12">
        <v>135.5</v>
      </c>
      <c r="AC24" s="12">
        <f t="shared" si="19"/>
        <v>4.9000000000000057</v>
      </c>
    </row>
    <row r="25" spans="1:29" x14ac:dyDescent="0.2">
      <c r="A25" s="13" t="s">
        <v>24</v>
      </c>
      <c r="B25" s="11" t="s">
        <v>4</v>
      </c>
      <c r="C25" s="10">
        <v>52.5</v>
      </c>
      <c r="D25" s="10">
        <v>53.3</v>
      </c>
      <c r="E25" s="10">
        <v>0.79999999999999716</v>
      </c>
      <c r="F25" s="10">
        <v>13.4</v>
      </c>
      <c r="G25" s="10">
        <v>11.5</v>
      </c>
      <c r="H25" s="10">
        <f t="shared" si="12"/>
        <v>-1.9000000000000004</v>
      </c>
      <c r="I25" s="10">
        <v>1.69</v>
      </c>
      <c r="J25" s="10">
        <v>2.12</v>
      </c>
      <c r="K25" s="10">
        <f t="shared" si="13"/>
        <v>0.43000000000000016</v>
      </c>
      <c r="L25" s="11">
        <v>130.9</v>
      </c>
      <c r="M25" s="11">
        <v>147.30000000000001</v>
      </c>
      <c r="N25" s="12">
        <f t="shared" si="14"/>
        <v>16.400000000000006</v>
      </c>
      <c r="O25" s="11">
        <v>78.2</v>
      </c>
      <c r="P25" s="11">
        <v>79.8</v>
      </c>
      <c r="Q25" s="12">
        <f t="shared" si="15"/>
        <v>1.5999999999999943</v>
      </c>
      <c r="R25" s="11">
        <v>127.5</v>
      </c>
      <c r="S25" s="11">
        <v>143.30000000000001</v>
      </c>
      <c r="T25" s="12">
        <f t="shared" si="16"/>
        <v>15.800000000000011</v>
      </c>
      <c r="U25" s="11">
        <v>32.5</v>
      </c>
      <c r="V25" s="11">
        <v>28.1</v>
      </c>
      <c r="W25" s="12">
        <f t="shared" si="17"/>
        <v>-4.3999999999999986</v>
      </c>
      <c r="X25" s="11">
        <v>3.5</v>
      </c>
      <c r="Y25" s="11">
        <v>4.0999999999999996</v>
      </c>
      <c r="Z25" s="12">
        <f t="shared" si="18"/>
        <v>0.59999999999999964</v>
      </c>
      <c r="AA25" s="12">
        <v>28.5</v>
      </c>
      <c r="AB25" s="12">
        <v>23.8</v>
      </c>
      <c r="AC25" s="12">
        <f t="shared" si="19"/>
        <v>-4.6999999999999993</v>
      </c>
    </row>
    <row r="26" spans="1:29" s="51" customFormat="1" ht="13.5" thickBot="1" x14ac:dyDescent="0.25">
      <c r="A26" s="24" t="s">
        <v>26</v>
      </c>
      <c r="B26" s="25" t="s">
        <v>4</v>
      </c>
      <c r="C26" s="26">
        <v>54.6</v>
      </c>
      <c r="D26" s="26">
        <v>56.1</v>
      </c>
      <c r="E26" s="26">
        <v>1.5</v>
      </c>
      <c r="F26" s="26">
        <v>12.4</v>
      </c>
      <c r="G26" s="26">
        <v>14.4</v>
      </c>
      <c r="H26" s="26">
        <f t="shared" si="12"/>
        <v>2</v>
      </c>
      <c r="I26" s="26">
        <v>1.6</v>
      </c>
      <c r="J26" s="26">
        <v>1.96</v>
      </c>
      <c r="K26" s="26">
        <f t="shared" si="13"/>
        <v>0.35999999999999988</v>
      </c>
      <c r="L26" s="25">
        <v>117.6</v>
      </c>
      <c r="M26" s="25">
        <v>140.19999999999999</v>
      </c>
      <c r="N26" s="51">
        <f t="shared" si="14"/>
        <v>22.599999999999994</v>
      </c>
      <c r="O26" s="25">
        <v>79.5</v>
      </c>
      <c r="P26" s="25">
        <v>76.8</v>
      </c>
      <c r="Q26" s="51">
        <f t="shared" si="15"/>
        <v>-2.7000000000000028</v>
      </c>
      <c r="R26" s="25">
        <v>113.7</v>
      </c>
      <c r="S26" s="25">
        <v>133.80000000000001</v>
      </c>
      <c r="T26" s="51">
        <f t="shared" si="16"/>
        <v>20.100000000000009</v>
      </c>
      <c r="U26" s="25">
        <v>55.2</v>
      </c>
      <c r="V26" s="25">
        <v>63.3</v>
      </c>
      <c r="W26" s="51">
        <f t="shared" si="17"/>
        <v>8.0999999999999943</v>
      </c>
      <c r="X26" s="25">
        <v>3.9</v>
      </c>
      <c r="Y26" s="25">
        <v>6.4</v>
      </c>
      <c r="Z26" s="51">
        <f t="shared" si="18"/>
        <v>2.5000000000000004</v>
      </c>
      <c r="AA26" s="51">
        <v>51.2</v>
      </c>
      <c r="AB26" s="51">
        <v>58.6</v>
      </c>
      <c r="AC26" s="51">
        <f t="shared" si="19"/>
        <v>7.3999999999999986</v>
      </c>
    </row>
    <row r="27" spans="1:29" ht="13.5" thickTop="1" x14ac:dyDescent="0.2">
      <c r="A27" s="14" t="s">
        <v>27</v>
      </c>
      <c r="B27" s="11"/>
      <c r="C27" s="15">
        <f>AVERAGE(C15:C26)</f>
        <v>56.06666666666667</v>
      </c>
      <c r="D27" s="15">
        <f>AVERAGE(D15:D26)</f>
        <v>57.541666666666679</v>
      </c>
      <c r="E27" s="23">
        <v>1.4750000000000021</v>
      </c>
      <c r="F27" s="15">
        <f>AVERAGE(F15:F26)</f>
        <v>20.75</v>
      </c>
      <c r="G27" s="15">
        <f>AVERAGE(G15:G26)</f>
        <v>20.083333333333332</v>
      </c>
      <c r="H27" s="15">
        <f t="shared" ref="H27" si="20">AVERAGE(H15:H26)</f>
        <v>-0.66666666666666685</v>
      </c>
      <c r="I27" s="15">
        <f>AVERAGE(I15:I26)</f>
        <v>1.8208333333333337</v>
      </c>
      <c r="J27" s="15">
        <f>AVERAGE(J15:J26)</f>
        <v>2.2550000000000003</v>
      </c>
      <c r="K27" s="15">
        <f t="shared" ref="K27:AC27" si="21">AVERAGE(K15:K26)</f>
        <v>0.43416666666666659</v>
      </c>
      <c r="L27" s="27">
        <f t="shared" si="21"/>
        <v>141.61666666666665</v>
      </c>
      <c r="M27" s="27">
        <f t="shared" si="21"/>
        <v>155.66666666666666</v>
      </c>
      <c r="N27" s="27">
        <f t="shared" si="21"/>
        <v>14.049999999999992</v>
      </c>
      <c r="O27" s="27">
        <f t="shared" si="21"/>
        <v>77.375</v>
      </c>
      <c r="P27" s="27">
        <f t="shared" si="21"/>
        <v>78.766666666666652</v>
      </c>
      <c r="Q27" s="27">
        <f t="shared" si="21"/>
        <v>1.3916666666666668</v>
      </c>
      <c r="R27" s="27">
        <f t="shared" si="21"/>
        <v>132.88333333333335</v>
      </c>
      <c r="S27" s="27">
        <f t="shared" si="21"/>
        <v>146.29166666666666</v>
      </c>
      <c r="T27" s="27">
        <f t="shared" si="21"/>
        <v>13.408333333333337</v>
      </c>
      <c r="U27" s="27">
        <f t="shared" si="21"/>
        <v>61.466666666666669</v>
      </c>
      <c r="V27" s="27">
        <f t="shared" si="21"/>
        <v>61.56666666666667</v>
      </c>
      <c r="W27" s="27">
        <f t="shared" si="21"/>
        <v>9.9999999999998465E-2</v>
      </c>
      <c r="X27" s="27">
        <f t="shared" si="21"/>
        <v>8.7333333333333343</v>
      </c>
      <c r="Y27" s="27">
        <f t="shared" si="21"/>
        <v>9.3833333333333329</v>
      </c>
      <c r="Z27" s="27">
        <f t="shared" si="21"/>
        <v>0.65000000000000024</v>
      </c>
      <c r="AA27" s="27">
        <f t="shared" si="21"/>
        <v>56.891666666666673</v>
      </c>
      <c r="AB27" s="27">
        <f t="shared" si="21"/>
        <v>56.650000000000006</v>
      </c>
      <c r="AC27" s="27">
        <f t="shared" si="21"/>
        <v>-0.24166666666666656</v>
      </c>
    </row>
    <row r="28" spans="1:29" x14ac:dyDescent="0.2">
      <c r="A28" s="14" t="s">
        <v>44</v>
      </c>
      <c r="B28" s="11"/>
      <c r="C28" s="15">
        <f>STDEV(C15:C26)</f>
        <v>7.2363141463207556</v>
      </c>
      <c r="D28" s="15">
        <f t="shared" ref="D28:AC28" si="22">STDEV(D15:D26)</f>
        <v>7.8490831350294945</v>
      </c>
      <c r="E28" s="15">
        <v>2.0195071405937361</v>
      </c>
      <c r="F28" s="15">
        <f t="shared" si="22"/>
        <v>9.2996089849373398</v>
      </c>
      <c r="G28" s="15">
        <f t="shared" si="22"/>
        <v>9.4344468772041878</v>
      </c>
      <c r="H28" s="15">
        <f t="shared" si="22"/>
        <v>1.7767863397070838</v>
      </c>
      <c r="I28" s="15">
        <f t="shared" si="22"/>
        <v>0.38044133064193258</v>
      </c>
      <c r="J28" s="15">
        <f t="shared" si="22"/>
        <v>0.51540804664406692</v>
      </c>
      <c r="K28" s="15">
        <f t="shared" si="22"/>
        <v>0.38873824643637045</v>
      </c>
      <c r="L28" s="27">
        <f t="shared" si="22"/>
        <v>23.028552764432352</v>
      </c>
      <c r="M28" s="27">
        <f t="shared" si="22"/>
        <v>24.031885384869639</v>
      </c>
      <c r="N28" s="27">
        <f t="shared" si="22"/>
        <v>7.7627900326434878</v>
      </c>
      <c r="O28" s="27">
        <f t="shared" si="22"/>
        <v>1.2068930810518828</v>
      </c>
      <c r="P28" s="27">
        <f t="shared" si="22"/>
        <v>0.98565468167870596</v>
      </c>
      <c r="Q28" s="27">
        <f t="shared" si="22"/>
        <v>1.6222645974816869</v>
      </c>
      <c r="R28" s="27">
        <f t="shared" si="22"/>
        <v>19.367725418302971</v>
      </c>
      <c r="S28" s="27">
        <f t="shared" si="22"/>
        <v>20.920692598188019</v>
      </c>
      <c r="T28" s="27">
        <f t="shared" si="22"/>
        <v>6.5803368708093748</v>
      </c>
      <c r="U28" s="27">
        <f t="shared" si="22"/>
        <v>29.137958165606015</v>
      </c>
      <c r="V28" s="27">
        <f t="shared" si="22"/>
        <v>30.429481318835069</v>
      </c>
      <c r="W28" s="27">
        <f t="shared" si="22"/>
        <v>4.9119520281933431</v>
      </c>
      <c r="X28" s="27">
        <f t="shared" si="22"/>
        <v>4.8644037910543814</v>
      </c>
      <c r="Y28" s="27">
        <f t="shared" si="22"/>
        <v>4.9493495134270553</v>
      </c>
      <c r="Z28" s="27">
        <f t="shared" si="22"/>
        <v>1.7573223432773564</v>
      </c>
      <c r="AA28" s="27">
        <f t="shared" si="22"/>
        <v>28.701772461369742</v>
      </c>
      <c r="AB28" s="27">
        <f t="shared" si="22"/>
        <v>29.959715376727878</v>
      </c>
      <c r="AC28" s="27">
        <f t="shared" si="22"/>
        <v>4.6988312537816403</v>
      </c>
    </row>
    <row r="29" spans="1:29" x14ac:dyDescent="0.2">
      <c r="A29" s="14" t="s">
        <v>45</v>
      </c>
      <c r="B29" s="11"/>
      <c r="C29" s="23"/>
      <c r="D29" s="16">
        <f>TTEST(D15:D26,C15:C26,2,1)</f>
        <v>2.7968553638465014E-2</v>
      </c>
      <c r="E29" s="23"/>
      <c r="F29" s="23"/>
      <c r="G29" s="16">
        <f>TTEST(G15:G26,F15:F26,2,1)</f>
        <v>0.2202597049009033</v>
      </c>
      <c r="H29" s="10"/>
      <c r="I29" s="23"/>
      <c r="J29" s="16">
        <f>TTEST(I18:I26,J18:J26,2,1)</f>
        <v>3.997594819681447E-3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9" x14ac:dyDescent="0.2">
      <c r="A30" s="14"/>
      <c r="B30" s="11"/>
      <c r="C30" s="10"/>
      <c r="D30" s="10"/>
      <c r="E30" s="10"/>
      <c r="F30" s="10"/>
      <c r="G30" s="10"/>
      <c r="H30" s="10"/>
      <c r="I30" s="10"/>
      <c r="J30" s="10"/>
      <c r="K30" s="10"/>
      <c r="L30" s="11"/>
      <c r="M30" s="11"/>
      <c r="N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9" x14ac:dyDescent="0.2">
      <c r="A31" s="13" t="s">
        <v>29</v>
      </c>
      <c r="B31" s="11" t="s">
        <v>5</v>
      </c>
      <c r="C31" s="10">
        <v>51.3</v>
      </c>
      <c r="D31" s="10">
        <v>54.9</v>
      </c>
      <c r="E31" s="10">
        <v>3.6000000000000014</v>
      </c>
      <c r="F31" s="10">
        <v>11.9</v>
      </c>
      <c r="G31" s="10">
        <v>12.7</v>
      </c>
      <c r="H31" s="10">
        <f>G31-F31</f>
        <v>0.79999999999999893</v>
      </c>
      <c r="I31" s="10">
        <v>1.92</v>
      </c>
      <c r="J31" s="10">
        <v>2.5099999999999998</v>
      </c>
      <c r="K31" s="10">
        <f>J31-I31</f>
        <v>0.58999999999999986</v>
      </c>
      <c r="L31" s="11">
        <v>146.5</v>
      </c>
      <c r="M31" s="11">
        <v>159.6</v>
      </c>
      <c r="N31" s="12">
        <f>M31-L31</f>
        <v>13.099999999999994</v>
      </c>
      <c r="O31" s="12">
        <v>77.3</v>
      </c>
      <c r="P31" s="11">
        <v>78.3</v>
      </c>
      <c r="Q31" s="12">
        <f>P31-O31</f>
        <v>1</v>
      </c>
      <c r="R31" s="11">
        <v>139.80000000000001</v>
      </c>
      <c r="S31" s="11">
        <v>150.69999999999999</v>
      </c>
      <c r="T31" s="12">
        <f>S31-R31</f>
        <v>10.899999999999977</v>
      </c>
      <c r="U31" s="11">
        <v>43.2</v>
      </c>
      <c r="V31" s="11">
        <v>45.8</v>
      </c>
      <c r="W31" s="12">
        <f>V31-U31</f>
        <v>2.5999999999999943</v>
      </c>
      <c r="X31" s="11">
        <v>6.7</v>
      </c>
      <c r="Y31" s="11">
        <v>8.9</v>
      </c>
      <c r="Z31" s="12">
        <f>Y31-X31</f>
        <v>2.2000000000000002</v>
      </c>
      <c r="AA31" s="12">
        <v>38.9</v>
      </c>
      <c r="AB31" s="12">
        <v>41.3</v>
      </c>
      <c r="AC31" s="12">
        <f>AB31-AA31</f>
        <v>2.3999999999999986</v>
      </c>
    </row>
    <row r="32" spans="1:29" x14ac:dyDescent="0.2">
      <c r="A32" s="13" t="s">
        <v>31</v>
      </c>
      <c r="B32" s="11" t="s">
        <v>5</v>
      </c>
      <c r="C32" s="10">
        <v>60.4</v>
      </c>
      <c r="D32" s="10">
        <v>60.3</v>
      </c>
      <c r="E32" s="10">
        <v>-0.10000000000000142</v>
      </c>
      <c r="F32" s="10">
        <v>11.4</v>
      </c>
      <c r="G32" s="10">
        <v>12.7</v>
      </c>
      <c r="H32" s="10">
        <f t="shared" ref="H32:H41" si="23">G32-F32</f>
        <v>1.2999999999999989</v>
      </c>
      <c r="I32" s="10">
        <v>2.92</v>
      </c>
      <c r="J32" s="10">
        <v>3</v>
      </c>
      <c r="K32" s="10">
        <f t="shared" ref="K32:K41" si="24">J32-I32</f>
        <v>8.0000000000000071E-2</v>
      </c>
      <c r="L32" s="11">
        <v>154.5</v>
      </c>
      <c r="M32" s="11">
        <v>176.9</v>
      </c>
      <c r="N32" s="12">
        <f t="shared" ref="N32:N41" si="25">M32-L32</f>
        <v>22.400000000000006</v>
      </c>
      <c r="O32" s="12">
        <v>78.5</v>
      </c>
      <c r="P32" s="11">
        <v>79</v>
      </c>
      <c r="Q32" s="12">
        <f t="shared" ref="Q32:Q41" si="26">P32-O32</f>
        <v>0.5</v>
      </c>
      <c r="R32" s="11">
        <v>148.19999999999999</v>
      </c>
      <c r="S32" s="11">
        <v>167.8</v>
      </c>
      <c r="T32" s="12">
        <f t="shared" ref="T32:T41" si="27">S32-R32</f>
        <v>19.600000000000023</v>
      </c>
      <c r="U32" s="11">
        <v>36.299999999999997</v>
      </c>
      <c r="V32" s="11">
        <v>37.799999999999997</v>
      </c>
      <c r="W32" s="12">
        <f t="shared" ref="W32:W41" si="28">V32-U32</f>
        <v>1.5</v>
      </c>
      <c r="X32" s="11">
        <v>6.2</v>
      </c>
      <c r="Y32" s="11">
        <v>9.1999999999999993</v>
      </c>
      <c r="Z32" s="12">
        <f t="shared" ref="Z32:Z41" si="29">Y32-X32</f>
        <v>2.9999999999999991</v>
      </c>
      <c r="AA32" s="12">
        <v>31.6</v>
      </c>
      <c r="AB32" s="12">
        <v>32.799999999999997</v>
      </c>
      <c r="AC32" s="12">
        <f t="shared" ref="AC32:AC41" si="30">AB32-AA32</f>
        <v>1.1999999999999957</v>
      </c>
    </row>
    <row r="33" spans="1:29" x14ac:dyDescent="0.2">
      <c r="A33" s="13" t="s">
        <v>6</v>
      </c>
      <c r="B33" s="11" t="s">
        <v>5</v>
      </c>
      <c r="C33" s="10">
        <v>49</v>
      </c>
      <c r="D33" s="10">
        <v>53.3</v>
      </c>
      <c r="E33" s="10">
        <v>4.2999999999999972</v>
      </c>
      <c r="F33" s="10">
        <v>17.899999999999999</v>
      </c>
      <c r="G33" s="10">
        <v>17.600000000000001</v>
      </c>
      <c r="H33" s="10">
        <f t="shared" si="23"/>
        <v>-0.29999999999999716</v>
      </c>
      <c r="I33" s="10">
        <v>2.02</v>
      </c>
      <c r="J33" s="10">
        <v>2.15</v>
      </c>
      <c r="K33" s="10">
        <f t="shared" si="24"/>
        <v>0.12999999999999989</v>
      </c>
      <c r="L33" s="11">
        <v>126.5</v>
      </c>
      <c r="M33" s="11">
        <v>138.69999999999999</v>
      </c>
      <c r="N33" s="12">
        <f t="shared" si="25"/>
        <v>12.199999999999989</v>
      </c>
      <c r="O33" s="12">
        <v>75.7</v>
      </c>
      <c r="P33" s="11">
        <v>76.8</v>
      </c>
      <c r="Q33" s="12">
        <f t="shared" si="26"/>
        <v>1.0999999999999943</v>
      </c>
      <c r="R33" s="11">
        <v>120.8</v>
      </c>
      <c r="S33" s="11">
        <v>131.69999999999999</v>
      </c>
      <c r="T33" s="12">
        <f t="shared" si="27"/>
        <v>10.899999999999991</v>
      </c>
      <c r="U33" s="11">
        <v>48.6</v>
      </c>
      <c r="V33" s="11">
        <v>48</v>
      </c>
      <c r="W33" s="12">
        <f t="shared" si="28"/>
        <v>-0.60000000000000142</v>
      </c>
      <c r="X33" s="11">
        <v>5.7</v>
      </c>
      <c r="Y33" s="11">
        <v>7</v>
      </c>
      <c r="Z33" s="12">
        <f t="shared" si="29"/>
        <v>1.2999999999999998</v>
      </c>
      <c r="AA33" s="12">
        <v>44.5</v>
      </c>
      <c r="AB33" s="12">
        <v>43.9</v>
      </c>
      <c r="AC33" s="12">
        <f t="shared" si="30"/>
        <v>-0.60000000000000142</v>
      </c>
    </row>
    <row r="34" spans="1:29" x14ac:dyDescent="0.2">
      <c r="A34" s="13" t="s">
        <v>15</v>
      </c>
      <c r="B34" s="11" t="s">
        <v>5</v>
      </c>
      <c r="C34" s="10">
        <v>69.400000000000006</v>
      </c>
      <c r="D34" s="10">
        <v>72.5</v>
      </c>
      <c r="E34" s="10">
        <v>3.0999999999999943</v>
      </c>
      <c r="F34" s="10">
        <v>17.100000000000001</v>
      </c>
      <c r="G34" s="10">
        <v>12.2</v>
      </c>
      <c r="H34" s="10">
        <f t="shared" si="23"/>
        <v>-4.9000000000000021</v>
      </c>
      <c r="I34" s="10">
        <v>2.1800000000000002</v>
      </c>
      <c r="J34" s="10">
        <v>2.75</v>
      </c>
      <c r="K34" s="10">
        <f t="shared" si="24"/>
        <v>0.56999999999999984</v>
      </c>
      <c r="L34" s="11">
        <v>198.6</v>
      </c>
      <c r="M34" s="11">
        <v>219.7</v>
      </c>
      <c r="N34" s="12">
        <f t="shared" si="25"/>
        <v>21.099999999999994</v>
      </c>
      <c r="O34" s="12">
        <v>78.900000000000006</v>
      </c>
      <c r="P34" s="11">
        <v>81</v>
      </c>
      <c r="Q34" s="12">
        <f t="shared" si="26"/>
        <v>2.0999999999999943</v>
      </c>
      <c r="R34" s="11">
        <v>183</v>
      </c>
      <c r="S34" s="11">
        <v>201.9</v>
      </c>
      <c r="T34" s="12">
        <f t="shared" si="27"/>
        <v>18.900000000000006</v>
      </c>
      <c r="U34" s="11">
        <v>57.1</v>
      </c>
      <c r="V34" s="11">
        <v>45.6</v>
      </c>
      <c r="W34" s="12">
        <f t="shared" si="28"/>
        <v>-11.5</v>
      </c>
      <c r="X34" s="11">
        <v>15.6</v>
      </c>
      <c r="Y34" s="11">
        <v>17.899999999999999</v>
      </c>
      <c r="Z34" s="12">
        <f t="shared" si="29"/>
        <v>2.2999999999999989</v>
      </c>
      <c r="AA34" s="12">
        <v>51.3</v>
      </c>
      <c r="AB34" s="12">
        <v>39.6</v>
      </c>
      <c r="AC34" s="12">
        <f t="shared" si="30"/>
        <v>-11.699999999999996</v>
      </c>
    </row>
    <row r="35" spans="1:29" x14ac:dyDescent="0.2">
      <c r="A35" s="13" t="s">
        <v>17</v>
      </c>
      <c r="B35" s="11" t="s">
        <v>5</v>
      </c>
      <c r="C35" s="10">
        <v>58.3</v>
      </c>
      <c r="D35" s="10">
        <v>57.4</v>
      </c>
      <c r="E35" s="10">
        <v>-0.89999999999999858</v>
      </c>
      <c r="F35" s="10">
        <v>11.2</v>
      </c>
      <c r="G35" s="10">
        <v>12.2</v>
      </c>
      <c r="H35" s="10">
        <f t="shared" si="23"/>
        <v>1</v>
      </c>
      <c r="I35" s="10">
        <v>2.2000000000000002</v>
      </c>
      <c r="J35" s="10">
        <v>2.2599999999999998</v>
      </c>
      <c r="K35" s="10">
        <f t="shared" si="24"/>
        <v>5.9999999999999609E-2</v>
      </c>
      <c r="L35" s="11">
        <v>158.9</v>
      </c>
      <c r="M35" s="11">
        <v>168.1</v>
      </c>
      <c r="N35" s="12">
        <f t="shared" si="25"/>
        <v>9.1999999999999886</v>
      </c>
      <c r="O35" s="12">
        <v>79.3</v>
      </c>
      <c r="P35" s="11">
        <v>80.5</v>
      </c>
      <c r="Q35" s="12">
        <f t="shared" si="26"/>
        <v>1.2000000000000028</v>
      </c>
      <c r="R35" s="11">
        <v>152.80000000000001</v>
      </c>
      <c r="S35" s="11">
        <v>159.9</v>
      </c>
      <c r="T35" s="12">
        <f t="shared" si="27"/>
        <v>7.0999999999999943</v>
      </c>
      <c r="U35" s="11">
        <v>37.200000000000003</v>
      </c>
      <c r="V35" s="11">
        <v>39</v>
      </c>
      <c r="W35" s="12">
        <f t="shared" si="28"/>
        <v>1.7999999999999972</v>
      </c>
      <c r="X35" s="11">
        <v>6.1</v>
      </c>
      <c r="Y35" s="11">
        <v>8.1</v>
      </c>
      <c r="Z35" s="12">
        <f t="shared" si="29"/>
        <v>2</v>
      </c>
      <c r="AA35" s="12">
        <v>32.9</v>
      </c>
      <c r="AB35" s="12">
        <v>34.4</v>
      </c>
      <c r="AC35" s="12">
        <f t="shared" si="30"/>
        <v>1.5</v>
      </c>
    </row>
    <row r="36" spans="1:29" x14ac:dyDescent="0.2">
      <c r="A36" s="13" t="s">
        <v>36</v>
      </c>
      <c r="B36" s="11" t="s">
        <v>5</v>
      </c>
      <c r="C36" s="10">
        <v>59.7</v>
      </c>
      <c r="D36" s="10">
        <v>61.8</v>
      </c>
      <c r="E36" s="10">
        <v>2.0999999999999943</v>
      </c>
      <c r="F36" s="10">
        <v>16.2</v>
      </c>
      <c r="G36" s="10">
        <v>19.7</v>
      </c>
      <c r="H36" s="10">
        <f t="shared" si="23"/>
        <v>3.5</v>
      </c>
      <c r="I36" s="10">
        <v>2.2200000000000002</v>
      </c>
      <c r="J36" s="10">
        <v>2.41</v>
      </c>
      <c r="K36" s="10">
        <f t="shared" si="24"/>
        <v>0.18999999999999995</v>
      </c>
      <c r="L36" s="11">
        <v>166.4</v>
      </c>
      <c r="M36" s="11">
        <v>191.8</v>
      </c>
      <c r="N36" s="12">
        <f t="shared" si="25"/>
        <v>25.400000000000006</v>
      </c>
      <c r="O36" s="12">
        <v>79.3</v>
      </c>
      <c r="P36" s="11">
        <v>80</v>
      </c>
      <c r="Q36" s="12">
        <f t="shared" si="26"/>
        <v>0.70000000000000284</v>
      </c>
      <c r="R36" s="11">
        <v>158.5</v>
      </c>
      <c r="S36" s="11">
        <v>180.1</v>
      </c>
      <c r="T36" s="12">
        <f t="shared" si="27"/>
        <v>21.599999999999994</v>
      </c>
      <c r="U36" s="11">
        <v>48.9</v>
      </c>
      <c r="V36" s="11">
        <v>57.7</v>
      </c>
      <c r="W36" s="12">
        <f t="shared" si="28"/>
        <v>8.8000000000000043</v>
      </c>
      <c r="X36" s="11">
        <v>7.9</v>
      </c>
      <c r="Y36" s="11">
        <v>11.7</v>
      </c>
      <c r="Z36" s="12">
        <f t="shared" si="29"/>
        <v>3.7999999999999989</v>
      </c>
      <c r="AA36" s="12">
        <v>44.2</v>
      </c>
      <c r="AB36" s="12">
        <v>52.2</v>
      </c>
      <c r="AC36" s="12">
        <f t="shared" si="30"/>
        <v>8</v>
      </c>
    </row>
    <row r="37" spans="1:29" x14ac:dyDescent="0.2">
      <c r="A37" s="13" t="s">
        <v>19</v>
      </c>
      <c r="B37" s="11" t="s">
        <v>5</v>
      </c>
      <c r="C37" s="10">
        <v>54.4</v>
      </c>
      <c r="D37" s="10">
        <v>56.7</v>
      </c>
      <c r="E37" s="10">
        <v>2.3000000000000043</v>
      </c>
      <c r="F37" s="10">
        <v>19.7</v>
      </c>
      <c r="G37" s="10">
        <v>20.9</v>
      </c>
      <c r="H37" s="10">
        <f t="shared" si="23"/>
        <v>1.1999999999999993</v>
      </c>
      <c r="I37" s="10">
        <v>2.34</v>
      </c>
      <c r="J37" s="10">
        <v>2.6</v>
      </c>
      <c r="K37" s="10">
        <f t="shared" si="24"/>
        <v>0.26000000000000023</v>
      </c>
      <c r="L37" s="11">
        <v>156</v>
      </c>
      <c r="M37" s="11">
        <v>177</v>
      </c>
      <c r="N37" s="12">
        <f t="shared" si="25"/>
        <v>21</v>
      </c>
      <c r="O37" s="12">
        <v>76.599999999999994</v>
      </c>
      <c r="P37" s="11">
        <v>78.5</v>
      </c>
      <c r="Q37" s="12">
        <f t="shared" si="26"/>
        <v>1.9000000000000057</v>
      </c>
      <c r="R37" s="11">
        <v>145.6</v>
      </c>
      <c r="S37" s="11">
        <v>165.3</v>
      </c>
      <c r="T37" s="12">
        <f t="shared" si="27"/>
        <v>19.700000000000017</v>
      </c>
      <c r="U37" s="11">
        <v>55.9</v>
      </c>
      <c r="V37" s="11">
        <v>57.6</v>
      </c>
      <c r="W37" s="12">
        <f t="shared" si="28"/>
        <v>1.7000000000000028</v>
      </c>
      <c r="X37" s="11">
        <v>10.4</v>
      </c>
      <c r="Y37" s="11">
        <v>11.7</v>
      </c>
      <c r="Z37" s="12">
        <f t="shared" si="29"/>
        <v>1.2999999999999989</v>
      </c>
      <c r="AA37" s="12">
        <v>50.7</v>
      </c>
      <c r="AB37" s="12">
        <v>52.4</v>
      </c>
      <c r="AC37" s="12">
        <f t="shared" si="30"/>
        <v>1.6999999999999957</v>
      </c>
    </row>
    <row r="38" spans="1:29" x14ac:dyDescent="0.2">
      <c r="A38" s="13" t="s">
        <v>20</v>
      </c>
      <c r="B38" s="11" t="s">
        <v>5</v>
      </c>
      <c r="C38" s="10">
        <v>47.7</v>
      </c>
      <c r="D38" s="10">
        <v>50.7</v>
      </c>
      <c r="E38" s="10">
        <v>3</v>
      </c>
      <c r="F38" s="10">
        <v>13.2</v>
      </c>
      <c r="G38" s="10">
        <v>16.8</v>
      </c>
      <c r="H38" s="10">
        <f t="shared" si="23"/>
        <v>3.6000000000000014</v>
      </c>
      <c r="I38" s="10">
        <v>1.02</v>
      </c>
      <c r="J38" s="10">
        <v>1.08</v>
      </c>
      <c r="K38" s="10">
        <f t="shared" si="24"/>
        <v>6.0000000000000053E-2</v>
      </c>
      <c r="L38" s="11">
        <v>122.4</v>
      </c>
      <c r="M38" s="11">
        <v>135.6</v>
      </c>
      <c r="N38" s="12">
        <f t="shared" si="25"/>
        <v>13.199999999999989</v>
      </c>
      <c r="O38" s="12">
        <v>77.5</v>
      </c>
      <c r="P38" s="11">
        <v>78.7</v>
      </c>
      <c r="Q38" s="12">
        <f t="shared" si="26"/>
        <v>1.2000000000000028</v>
      </c>
      <c r="R38" s="11">
        <v>116.6</v>
      </c>
      <c r="S38" s="11">
        <v>127.5</v>
      </c>
      <c r="T38" s="12">
        <f t="shared" si="27"/>
        <v>10.900000000000006</v>
      </c>
      <c r="U38" s="11">
        <v>56.5</v>
      </c>
      <c r="V38" s="11">
        <v>55.8</v>
      </c>
      <c r="W38" s="12">
        <f t="shared" si="28"/>
        <v>-0.70000000000000284</v>
      </c>
      <c r="X38" s="11">
        <v>5.8</v>
      </c>
      <c r="Y38" s="11">
        <v>8.1</v>
      </c>
      <c r="Z38" s="12">
        <f t="shared" si="29"/>
        <v>2.2999999999999998</v>
      </c>
      <c r="AA38" s="12">
        <v>52.6</v>
      </c>
      <c r="AB38" s="12">
        <v>51.4</v>
      </c>
      <c r="AC38" s="12">
        <f t="shared" si="30"/>
        <v>-1.2000000000000028</v>
      </c>
    </row>
    <row r="39" spans="1:29" x14ac:dyDescent="0.2">
      <c r="A39" s="13" t="s">
        <v>37</v>
      </c>
      <c r="B39" s="11" t="s">
        <v>5</v>
      </c>
      <c r="C39" s="10">
        <v>62.5</v>
      </c>
      <c r="D39" s="10">
        <v>65.599999999999994</v>
      </c>
      <c r="E39" s="10">
        <v>3.0999999999999943</v>
      </c>
      <c r="F39" s="10">
        <v>24.9</v>
      </c>
      <c r="G39" s="10">
        <v>22.5</v>
      </c>
      <c r="H39" s="10">
        <f t="shared" si="23"/>
        <v>-2.3999999999999986</v>
      </c>
      <c r="I39" s="10">
        <v>1.55</v>
      </c>
      <c r="J39" s="10">
        <v>2.16</v>
      </c>
      <c r="K39" s="10">
        <f t="shared" si="24"/>
        <v>0.6100000000000001</v>
      </c>
      <c r="L39" s="11">
        <v>167.5</v>
      </c>
      <c r="M39" s="11">
        <v>185.5</v>
      </c>
      <c r="N39" s="12">
        <f t="shared" si="25"/>
        <v>18</v>
      </c>
      <c r="O39" s="12">
        <v>79</v>
      </c>
      <c r="P39" s="11">
        <v>79.5</v>
      </c>
      <c r="Q39" s="12">
        <f t="shared" si="26"/>
        <v>0.5</v>
      </c>
      <c r="R39" s="11">
        <v>158.1</v>
      </c>
      <c r="S39" s="11">
        <v>174.3</v>
      </c>
      <c r="T39" s="12">
        <f t="shared" si="27"/>
        <v>16.200000000000017</v>
      </c>
      <c r="U39" s="11">
        <v>58.6</v>
      </c>
      <c r="V39" s="11">
        <v>54.1</v>
      </c>
      <c r="W39" s="12">
        <f t="shared" si="28"/>
        <v>-4.5</v>
      </c>
      <c r="X39" s="11">
        <v>9.4</v>
      </c>
      <c r="Y39" s="11">
        <v>11.2</v>
      </c>
      <c r="Z39" s="12">
        <f t="shared" si="29"/>
        <v>1.7999999999999989</v>
      </c>
      <c r="AA39" s="12">
        <v>53.3</v>
      </c>
      <c r="AB39" s="12">
        <v>48.8</v>
      </c>
      <c r="AC39" s="12">
        <f t="shared" si="30"/>
        <v>-4.5</v>
      </c>
    </row>
    <row r="40" spans="1:29" x14ac:dyDescent="0.2">
      <c r="A40" s="13" t="s">
        <v>21</v>
      </c>
      <c r="B40" s="11" t="s">
        <v>5</v>
      </c>
      <c r="C40" s="10">
        <v>60.1</v>
      </c>
      <c r="D40" s="10">
        <v>64.8</v>
      </c>
      <c r="E40" s="10">
        <v>4.6999999999999957</v>
      </c>
      <c r="F40" s="10">
        <v>13.7</v>
      </c>
      <c r="G40" s="10">
        <v>15.1</v>
      </c>
      <c r="H40" s="10">
        <f t="shared" si="23"/>
        <v>1.4000000000000004</v>
      </c>
      <c r="I40" s="10">
        <v>1.36</v>
      </c>
      <c r="J40" s="10">
        <v>1.88</v>
      </c>
      <c r="K40" s="10">
        <f t="shared" si="24"/>
        <v>0.5199999999999998</v>
      </c>
      <c r="L40" s="11">
        <v>127.2</v>
      </c>
      <c r="M40" s="11">
        <v>155.19999999999999</v>
      </c>
      <c r="N40" s="12">
        <f t="shared" si="25"/>
        <v>27.999999999999986</v>
      </c>
      <c r="O40" s="12">
        <v>78.5</v>
      </c>
      <c r="P40" s="11">
        <v>79.8</v>
      </c>
      <c r="Q40" s="12">
        <f t="shared" si="26"/>
        <v>1.2999999999999972</v>
      </c>
      <c r="R40" s="11">
        <v>123.9</v>
      </c>
      <c r="S40" s="11">
        <v>149.5</v>
      </c>
      <c r="T40" s="12">
        <f t="shared" si="27"/>
        <v>25.599999999999994</v>
      </c>
      <c r="U40" s="11">
        <v>46</v>
      </c>
      <c r="V40" s="11">
        <v>46.5</v>
      </c>
      <c r="W40" s="12">
        <f t="shared" si="28"/>
        <v>0.5</v>
      </c>
      <c r="X40" s="11">
        <v>3.2</v>
      </c>
      <c r="Y40" s="11">
        <v>5.7</v>
      </c>
      <c r="Z40" s="12">
        <f t="shared" si="29"/>
        <v>2.5</v>
      </c>
      <c r="AA40" s="12">
        <v>42.2</v>
      </c>
      <c r="AB40" s="12">
        <v>42.1</v>
      </c>
      <c r="AC40" s="12">
        <f t="shared" si="30"/>
        <v>-0.10000000000000142</v>
      </c>
    </row>
    <row r="41" spans="1:29" s="51" customFormat="1" ht="13.5" thickBot="1" x14ac:dyDescent="0.25">
      <c r="A41" s="24" t="s">
        <v>25</v>
      </c>
      <c r="B41" s="25" t="s">
        <v>5</v>
      </c>
      <c r="C41" s="26">
        <v>46.3</v>
      </c>
      <c r="D41" s="26">
        <v>48</v>
      </c>
      <c r="E41" s="26">
        <v>1.7000000000000028</v>
      </c>
      <c r="F41" s="26">
        <v>9.5</v>
      </c>
      <c r="G41" s="26">
        <v>8.1999999999999993</v>
      </c>
      <c r="H41" s="26">
        <f t="shared" si="23"/>
        <v>-1.3000000000000007</v>
      </c>
      <c r="I41" s="26">
        <v>2.35</v>
      </c>
      <c r="J41" s="26">
        <v>2.5299999999999998</v>
      </c>
      <c r="K41" s="26">
        <f t="shared" si="24"/>
        <v>0.17999999999999972</v>
      </c>
      <c r="L41" s="25">
        <v>121.8</v>
      </c>
      <c r="M41" s="25">
        <v>135.30000000000001</v>
      </c>
      <c r="N41" s="51">
        <f t="shared" si="25"/>
        <v>13.500000000000014</v>
      </c>
      <c r="O41" s="25">
        <v>78.8</v>
      </c>
      <c r="P41" s="25">
        <v>79.7</v>
      </c>
      <c r="Q41" s="51">
        <f t="shared" si="26"/>
        <v>0.90000000000000568</v>
      </c>
      <c r="R41" s="25">
        <v>119.7</v>
      </c>
      <c r="S41" s="25">
        <v>132.6</v>
      </c>
      <c r="T41" s="51">
        <f t="shared" si="27"/>
        <v>12.899999999999991</v>
      </c>
      <c r="U41" s="25">
        <v>29.8</v>
      </c>
      <c r="V41" s="25">
        <v>29.1</v>
      </c>
      <c r="W41" s="51">
        <f t="shared" si="28"/>
        <v>-0.69999999999999929</v>
      </c>
      <c r="X41" s="25">
        <v>2.1</v>
      </c>
      <c r="Y41" s="25">
        <v>2.8</v>
      </c>
      <c r="Z41" s="51">
        <f t="shared" si="29"/>
        <v>0.69999999999999973</v>
      </c>
      <c r="AA41" s="51">
        <v>26.1</v>
      </c>
      <c r="AB41" s="51">
        <v>25.3</v>
      </c>
      <c r="AC41" s="51">
        <f t="shared" si="30"/>
        <v>-0.80000000000000071</v>
      </c>
    </row>
    <row r="42" spans="1:29" ht="13.5" thickTop="1" x14ac:dyDescent="0.2">
      <c r="A42" s="14" t="s">
        <v>27</v>
      </c>
      <c r="B42" s="11"/>
      <c r="C42" s="15">
        <f>AVERAGE(C30:C41)</f>
        <v>56.281818181818174</v>
      </c>
      <c r="D42" s="15">
        <f>AVERAGE(D30:D41)</f>
        <v>58.72727272727272</v>
      </c>
      <c r="E42" s="22">
        <v>2.445454545454544</v>
      </c>
      <c r="F42" s="15">
        <f>AVERAGE(F30:F41)</f>
        <v>15.154545454545454</v>
      </c>
      <c r="G42" s="15">
        <f>AVERAGE(G30:G41)</f>
        <v>15.509090909090908</v>
      </c>
      <c r="H42" s="15">
        <f t="shared" ref="H42" si="31">AVERAGE(H30:H41)</f>
        <v>0.35454545454545455</v>
      </c>
      <c r="I42" s="15">
        <f>AVERAGE(I30:I41)</f>
        <v>2.0072727272727273</v>
      </c>
      <c r="J42" s="15">
        <f>AVERAGE(J30:J41)</f>
        <v>2.3027272727272727</v>
      </c>
      <c r="K42" s="15">
        <f t="shared" ref="K42:AC42" si="32">AVERAGE(K30:K41)</f>
        <v>0.29545454545454536</v>
      </c>
      <c r="L42" s="27">
        <f t="shared" si="32"/>
        <v>149.66363636363639</v>
      </c>
      <c r="M42" s="27">
        <f t="shared" si="32"/>
        <v>167.58181818181816</v>
      </c>
      <c r="N42" s="27">
        <f t="shared" si="32"/>
        <v>17.918181818181814</v>
      </c>
      <c r="O42" s="27">
        <f t="shared" si="32"/>
        <v>78.127272727272725</v>
      </c>
      <c r="P42" s="27">
        <f t="shared" si="32"/>
        <v>79.254545454545465</v>
      </c>
      <c r="Q42" s="27">
        <f t="shared" si="32"/>
        <v>1.1272727272727279</v>
      </c>
      <c r="R42" s="27">
        <f t="shared" si="32"/>
        <v>142.45454545454544</v>
      </c>
      <c r="S42" s="27">
        <f t="shared" si="32"/>
        <v>158.29999999999998</v>
      </c>
      <c r="T42" s="27">
        <f t="shared" si="32"/>
        <v>15.845454545454546</v>
      </c>
      <c r="U42" s="27">
        <f t="shared" si="32"/>
        <v>47.099999999999994</v>
      </c>
      <c r="V42" s="27">
        <f t="shared" si="32"/>
        <v>47</v>
      </c>
      <c r="W42" s="27">
        <f t="shared" si="32"/>
        <v>-0.10000000000000045</v>
      </c>
      <c r="X42" s="27">
        <f t="shared" si="32"/>
        <v>7.1909090909090914</v>
      </c>
      <c r="Y42" s="27">
        <f t="shared" si="32"/>
        <v>9.2999999999999989</v>
      </c>
      <c r="Z42" s="27">
        <f t="shared" si="32"/>
        <v>2.1090909090909085</v>
      </c>
      <c r="AA42" s="27">
        <f t="shared" si="32"/>
        <v>42.572727272727278</v>
      </c>
      <c r="AB42" s="27">
        <f t="shared" si="32"/>
        <v>42.199999999999996</v>
      </c>
      <c r="AC42" s="27">
        <f t="shared" si="32"/>
        <v>-0.37272727272727385</v>
      </c>
    </row>
    <row r="43" spans="1:29" x14ac:dyDescent="0.2">
      <c r="A43" s="14" t="s">
        <v>44</v>
      </c>
      <c r="B43" s="11"/>
      <c r="C43" s="15">
        <f>STDEV(C30:C41)</f>
        <v>7.1604215213657403</v>
      </c>
      <c r="D43" s="15">
        <f t="shared" ref="D43" si="33">STDEV(D30:D41)</f>
        <v>7.1777560433733578</v>
      </c>
      <c r="E43" s="15">
        <v>1.7142716449639102</v>
      </c>
      <c r="F43" s="15">
        <f t="shared" ref="F43:H43" si="34">STDEV(F30:F41)</f>
        <v>4.541885871829817</v>
      </c>
      <c r="G43" s="15">
        <f t="shared" si="34"/>
        <v>4.3910031986903757</v>
      </c>
      <c r="H43" s="15">
        <f t="shared" si="34"/>
        <v>2.4921330768494836</v>
      </c>
      <c r="I43" s="15">
        <f t="shared" ref="I43:AC43" si="35">STDEV(I30:I41)</f>
        <v>0.52763796127820228</v>
      </c>
      <c r="J43" s="15">
        <f t="shared" si="35"/>
        <v>0.5099037342301177</v>
      </c>
      <c r="K43" s="15">
        <f t="shared" si="35"/>
        <v>0.228445338598258</v>
      </c>
      <c r="L43" s="27">
        <f t="shared" si="35"/>
        <v>23.901308446495989</v>
      </c>
      <c r="M43" s="27">
        <f t="shared" si="35"/>
        <v>26.297939774127453</v>
      </c>
      <c r="N43" s="27">
        <f t="shared" si="35"/>
        <v>6.0912754299601621</v>
      </c>
      <c r="O43" s="27">
        <f t="shared" si="35"/>
        <v>1.189193768139498</v>
      </c>
      <c r="P43" s="27">
        <f t="shared" si="35"/>
        <v>1.1656445739277794</v>
      </c>
      <c r="Q43" s="27">
        <f t="shared" si="35"/>
        <v>0.51203693048628574</v>
      </c>
      <c r="R43" s="27">
        <f t="shared" si="35"/>
        <v>20.74263067387384</v>
      </c>
      <c r="S43" s="27">
        <f t="shared" si="35"/>
        <v>22.860227470434374</v>
      </c>
      <c r="T43" s="27">
        <f t="shared" si="35"/>
        <v>5.7026947378171435</v>
      </c>
      <c r="U43" s="27">
        <f t="shared" si="35"/>
        <v>9.6638501644013957</v>
      </c>
      <c r="V43" s="27">
        <f t="shared" si="35"/>
        <v>9.1016482023862313</v>
      </c>
      <c r="W43" s="27">
        <f t="shared" si="35"/>
        <v>4.9654808427784713</v>
      </c>
      <c r="X43" s="27">
        <f t="shared" si="35"/>
        <v>3.6716357513932514</v>
      </c>
      <c r="Y43" s="27">
        <f t="shared" si="35"/>
        <v>3.9069169430639308</v>
      </c>
      <c r="Z43" s="27">
        <f t="shared" si="35"/>
        <v>0.85376172958799901</v>
      </c>
      <c r="AA43" s="27">
        <f t="shared" si="35"/>
        <v>9.2905426008485001</v>
      </c>
      <c r="AB43" s="27">
        <f t="shared" si="35"/>
        <v>8.8177094531403135</v>
      </c>
      <c r="AC43" s="27">
        <f t="shared" si="35"/>
        <v>4.8415061518273221</v>
      </c>
    </row>
    <row r="44" spans="1:29" x14ac:dyDescent="0.2">
      <c r="A44" s="14" t="s">
        <v>45</v>
      </c>
      <c r="B44" s="11"/>
      <c r="C44" s="23"/>
      <c r="D44" s="16">
        <f>TTEST(D31:D41,C31:C41,2,1)</f>
        <v>8.0265282990817522E-4</v>
      </c>
      <c r="E44" s="23"/>
      <c r="F44" s="23"/>
      <c r="G44" s="16">
        <f>TTEST(G31:G41,F31:F41,2,1)</f>
        <v>0.64716618496459022</v>
      </c>
      <c r="H44" s="10"/>
      <c r="I44" s="23"/>
      <c r="J44" s="16">
        <f>TTEST(I33:I41,J33:J41,2,1)</f>
        <v>4.5123563100043585E-3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9" x14ac:dyDescent="0.2">
      <c r="A45" s="11"/>
      <c r="B45" s="11"/>
      <c r="C45" s="11"/>
      <c r="D45" s="11"/>
      <c r="E45" s="11"/>
      <c r="F45" s="11"/>
      <c r="I45" s="11"/>
      <c r="J45" s="11"/>
    </row>
    <row r="46" spans="1:29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29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spans="1:29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spans="1:10" ht="15" customHeight="1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spans="1:10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spans="1:10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spans="1:10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spans="1:10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spans="1:10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spans="1:10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0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spans="1:10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spans="1:10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spans="1:10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spans="1:10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spans="1:10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spans="1:10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spans="1:10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spans="1:10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spans="1:10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spans="1:10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spans="1:10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 spans="1:10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spans="1:10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 spans="1:10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 spans="1:10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 spans="1:10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 spans="1:10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 spans="1:10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spans="1:10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spans="1:20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 spans="1:20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spans="1:20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spans="1:20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 spans="1:20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 spans="1:20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 spans="1:20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 spans="1:20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spans="1:20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1:20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1:20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spans="1:20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spans="1:20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spans="1:20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spans="1:20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spans="1:20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spans="1:20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spans="1:20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spans="1:20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spans="1:20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spans="1:20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spans="1:20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spans="1:20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spans="1:20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spans="1:20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spans="1:20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spans="1:20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spans="1:20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spans="1:20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spans="1:20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 spans="1:20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 spans="1:20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spans="1:20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spans="1:20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spans="1:20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spans="1:20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 spans="1:20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 spans="1:20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spans="1:20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 spans="1:20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spans="1:20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 spans="1:20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spans="1:20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spans="1:20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</row>
    <row r="237" spans="1:20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spans="1:20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 spans="1:20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 spans="1:20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</row>
    <row r="241" spans="1:20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 spans="1:20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 spans="1:20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 spans="1:20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</row>
    <row r="245" spans="1:20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spans="1:20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 spans="1:20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</row>
    <row r="248" spans="1:20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</row>
    <row r="249" spans="1:20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 spans="1:20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</row>
    <row r="251" spans="1:20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</row>
    <row r="252" spans="1:20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</row>
    <row r="253" spans="1:20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 spans="1:20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</row>
    <row r="255" spans="1:20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</row>
    <row r="256" spans="1:20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</row>
    <row r="257" spans="1:20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 spans="1:20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</row>
    <row r="259" spans="1:20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</row>
    <row r="260" spans="1:20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</row>
    <row r="261" spans="1:20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</row>
    <row r="262" spans="1:20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</row>
    <row r="263" spans="1:20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</row>
    <row r="264" spans="1:20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</row>
    <row r="265" spans="1:20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spans="1:20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</row>
    <row r="267" spans="1:20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  <row r="268" spans="1:20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</row>
    <row r="269" spans="1:20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</row>
    <row r="270" spans="1:20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</row>
    <row r="271" spans="1:20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</row>
    <row r="272" spans="1:20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</row>
    <row r="273" spans="1:20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</row>
    <row r="274" spans="1:20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</row>
    <row r="275" spans="1:20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</row>
    <row r="276" spans="1:20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</row>
    <row r="277" spans="1:20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 spans="1:20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</row>
    <row r="279" spans="1:20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 spans="1:20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</row>
    <row r="281" spans="1:20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</row>
    <row r="282" spans="1:20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</row>
    <row r="283" spans="1:20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</row>
    <row r="284" spans="1:20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</row>
    <row r="285" spans="1:20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</row>
    <row r="286" spans="1:20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</row>
    <row r="287" spans="1:20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</row>
    <row r="288" spans="1:20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</row>
    <row r="289" spans="1:20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</row>
    <row r="290" spans="1:20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</row>
    <row r="291" spans="1:20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</row>
    <row r="292" spans="1:20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</row>
    <row r="293" spans="1:20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</row>
    <row r="294" spans="1:20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</row>
    <row r="295" spans="1:20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</row>
    <row r="296" spans="1:20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</row>
    <row r="297" spans="1:20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</row>
    <row r="298" spans="1:20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</row>
    <row r="299" spans="1:20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</row>
    <row r="300" spans="1:20" x14ac:dyDescent="0.2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</row>
    <row r="301" spans="1:20" x14ac:dyDescent="0.2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</row>
    <row r="302" spans="1:20" x14ac:dyDescent="0.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</row>
    <row r="303" spans="1:20" x14ac:dyDescent="0.2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</row>
    <row r="304" spans="1:20" x14ac:dyDescent="0.2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</row>
    <row r="305" spans="1:20" x14ac:dyDescent="0.2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</row>
    <row r="306" spans="1:20" x14ac:dyDescent="0.2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</row>
    <row r="307" spans="1:20" x14ac:dyDescent="0.2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</row>
    <row r="308" spans="1:20" x14ac:dyDescent="0.2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</row>
    <row r="309" spans="1:20" x14ac:dyDescent="0.2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</row>
    <row r="310" spans="1:20" x14ac:dyDescent="0.2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</row>
    <row r="311" spans="1:20" x14ac:dyDescent="0.2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</row>
    <row r="312" spans="1:20" x14ac:dyDescent="0.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</row>
    <row r="313" spans="1:20" x14ac:dyDescent="0.2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</row>
    <row r="314" spans="1:20" x14ac:dyDescent="0.2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</row>
    <row r="315" spans="1:20" x14ac:dyDescent="0.2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</row>
    <row r="316" spans="1:20" x14ac:dyDescent="0.2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</row>
    <row r="317" spans="1:20" x14ac:dyDescent="0.2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</row>
    <row r="318" spans="1:20" x14ac:dyDescent="0.2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</row>
    <row r="319" spans="1:20" x14ac:dyDescent="0.2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</row>
    <row r="320" spans="1:20" x14ac:dyDescent="0.2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</row>
    <row r="321" spans="1:20" x14ac:dyDescent="0.2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</row>
    <row r="322" spans="1:20" x14ac:dyDescent="0.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</row>
    <row r="323" spans="1:20" x14ac:dyDescent="0.2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</row>
    <row r="324" spans="1:20" x14ac:dyDescent="0.2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</row>
    <row r="325" spans="1:20" x14ac:dyDescent="0.2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</row>
    <row r="326" spans="1:20" x14ac:dyDescent="0.2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</row>
    <row r="327" spans="1:20" x14ac:dyDescent="0.2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</row>
    <row r="328" spans="1:20" x14ac:dyDescent="0.2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</row>
    <row r="329" spans="1:20" x14ac:dyDescent="0.2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</row>
    <row r="330" spans="1:20" x14ac:dyDescent="0.2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</row>
    <row r="331" spans="1:20" x14ac:dyDescent="0.2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</row>
    <row r="332" spans="1:20" x14ac:dyDescent="0.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</row>
    <row r="333" spans="1:20" x14ac:dyDescent="0.2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</row>
    <row r="334" spans="1:20" x14ac:dyDescent="0.2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</row>
    <row r="335" spans="1:20" x14ac:dyDescent="0.2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</row>
    <row r="336" spans="1:20" x14ac:dyDescent="0.2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</row>
    <row r="337" spans="1:20" x14ac:dyDescent="0.2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</row>
    <row r="338" spans="1:20" x14ac:dyDescent="0.2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</row>
    <row r="339" spans="1:20" x14ac:dyDescent="0.2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</row>
    <row r="340" spans="1:20" x14ac:dyDescent="0.2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</row>
    <row r="341" spans="1:20" x14ac:dyDescent="0.2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</row>
    <row r="342" spans="1:20" x14ac:dyDescent="0.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</row>
    <row r="343" spans="1:20" x14ac:dyDescent="0.2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</row>
    <row r="344" spans="1:20" x14ac:dyDescent="0.2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</row>
    <row r="345" spans="1:20" x14ac:dyDescent="0.2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</row>
    <row r="346" spans="1:20" x14ac:dyDescent="0.2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</row>
    <row r="347" spans="1:20" x14ac:dyDescent="0.2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</row>
    <row r="348" spans="1:20" x14ac:dyDescent="0.2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</row>
    <row r="349" spans="1:20" x14ac:dyDescent="0.2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</row>
    <row r="350" spans="1:20" x14ac:dyDescent="0.2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</row>
    <row r="351" spans="1:20" x14ac:dyDescent="0.2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</row>
    <row r="352" spans="1:20" x14ac:dyDescent="0.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</row>
    <row r="353" spans="1:20" x14ac:dyDescent="0.2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</row>
    <row r="354" spans="1:20" x14ac:dyDescent="0.2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</row>
    <row r="355" spans="1:20" x14ac:dyDescent="0.2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</row>
    <row r="356" spans="1:20" x14ac:dyDescent="0.2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</row>
    <row r="357" spans="1:20" x14ac:dyDescent="0.2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</row>
    <row r="358" spans="1:20" x14ac:dyDescent="0.2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</row>
    <row r="359" spans="1:20" x14ac:dyDescent="0.2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</row>
    <row r="360" spans="1:20" x14ac:dyDescent="0.2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</row>
    <row r="361" spans="1:20" x14ac:dyDescent="0.2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</row>
    <row r="362" spans="1:20" x14ac:dyDescent="0.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</row>
    <row r="363" spans="1:20" x14ac:dyDescent="0.2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</row>
    <row r="364" spans="1:20" x14ac:dyDescent="0.2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</row>
    <row r="365" spans="1:20" x14ac:dyDescent="0.2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</row>
    <row r="366" spans="1:20" x14ac:dyDescent="0.2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</row>
    <row r="367" spans="1:20" x14ac:dyDescent="0.2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</row>
    <row r="368" spans="1:20" x14ac:dyDescent="0.2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</row>
    <row r="369" spans="1:20" x14ac:dyDescent="0.2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</row>
    <row r="370" spans="1:20" x14ac:dyDescent="0.2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</row>
    <row r="371" spans="1:20" x14ac:dyDescent="0.2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</row>
    <row r="372" spans="1:20" x14ac:dyDescent="0.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</row>
    <row r="373" spans="1:20" x14ac:dyDescent="0.2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</row>
    <row r="374" spans="1:20" x14ac:dyDescent="0.2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</row>
    <row r="375" spans="1:20" x14ac:dyDescent="0.2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</row>
    <row r="376" spans="1:20" x14ac:dyDescent="0.2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</row>
    <row r="377" spans="1:20" x14ac:dyDescent="0.2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</row>
    <row r="378" spans="1:20" x14ac:dyDescent="0.2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</row>
    <row r="379" spans="1:20" x14ac:dyDescent="0.2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</row>
    <row r="380" spans="1:20" x14ac:dyDescent="0.2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</row>
    <row r="381" spans="1:20" x14ac:dyDescent="0.2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</row>
    <row r="382" spans="1:20" x14ac:dyDescent="0.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</row>
    <row r="383" spans="1:20" x14ac:dyDescent="0.2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</row>
    <row r="384" spans="1:20" x14ac:dyDescent="0.2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</row>
    <row r="385" spans="1:20" x14ac:dyDescent="0.2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</row>
    <row r="386" spans="1:20" x14ac:dyDescent="0.2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</row>
    <row r="387" spans="1:20" x14ac:dyDescent="0.2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</row>
    <row r="388" spans="1:20" x14ac:dyDescent="0.2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</row>
    <row r="389" spans="1:20" x14ac:dyDescent="0.2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</row>
    <row r="390" spans="1:20" x14ac:dyDescent="0.2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</row>
    <row r="391" spans="1:20" x14ac:dyDescent="0.2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</row>
    <row r="392" spans="1:20" x14ac:dyDescent="0.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</row>
    <row r="393" spans="1:20" x14ac:dyDescent="0.2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</row>
    <row r="394" spans="1:20" x14ac:dyDescent="0.2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</row>
    <row r="395" spans="1:20" x14ac:dyDescent="0.2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</row>
    <row r="396" spans="1:20" x14ac:dyDescent="0.2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</row>
    <row r="397" spans="1:20" x14ac:dyDescent="0.2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</row>
    <row r="398" spans="1:20" x14ac:dyDescent="0.2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</row>
    <row r="399" spans="1:20" x14ac:dyDescent="0.2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</row>
    <row r="400" spans="1:20" x14ac:dyDescent="0.2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</row>
    <row r="401" spans="1:20" x14ac:dyDescent="0.2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</row>
    <row r="402" spans="1:20" x14ac:dyDescent="0.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</row>
    <row r="403" spans="1:20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</row>
    <row r="404" spans="1:20" x14ac:dyDescent="0.2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</row>
    <row r="405" spans="1:20" x14ac:dyDescent="0.2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</row>
    <row r="406" spans="1:20" x14ac:dyDescent="0.2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</row>
    <row r="407" spans="1:20" x14ac:dyDescent="0.2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</row>
    <row r="408" spans="1:20" x14ac:dyDescent="0.2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</row>
    <row r="409" spans="1:20" x14ac:dyDescent="0.2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</row>
    <row r="410" spans="1:20" x14ac:dyDescent="0.2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</row>
    <row r="411" spans="1:20" x14ac:dyDescent="0.2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</row>
    <row r="412" spans="1:20" x14ac:dyDescent="0.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</row>
    <row r="413" spans="1:20" x14ac:dyDescent="0.2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</row>
    <row r="414" spans="1:20" x14ac:dyDescent="0.2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</row>
    <row r="415" spans="1:20" x14ac:dyDescent="0.2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</row>
    <row r="416" spans="1:20" x14ac:dyDescent="0.2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</row>
    <row r="417" spans="1:20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</row>
    <row r="418" spans="1:20" x14ac:dyDescent="0.2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</row>
    <row r="419" spans="1:20" x14ac:dyDescent="0.2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</row>
    <row r="420" spans="1:20" x14ac:dyDescent="0.2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</row>
    <row r="421" spans="1:20" x14ac:dyDescent="0.2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</row>
    <row r="422" spans="1:20" x14ac:dyDescent="0.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</row>
    <row r="423" spans="1:20" x14ac:dyDescent="0.2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</row>
    <row r="424" spans="1:20" x14ac:dyDescent="0.2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</row>
    <row r="425" spans="1:20" x14ac:dyDescent="0.2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</row>
    <row r="426" spans="1:20" x14ac:dyDescent="0.2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</row>
    <row r="427" spans="1:20" x14ac:dyDescent="0.2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</row>
    <row r="428" spans="1:20" x14ac:dyDescent="0.2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</row>
    <row r="429" spans="1:20" x14ac:dyDescent="0.2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</row>
    <row r="430" spans="1:20" x14ac:dyDescent="0.2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</row>
    <row r="431" spans="1:20" x14ac:dyDescent="0.2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</row>
    <row r="432" spans="1:20" x14ac:dyDescent="0.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</row>
    <row r="433" spans="1:20" x14ac:dyDescent="0.2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</row>
    <row r="434" spans="1:20" x14ac:dyDescent="0.2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</row>
    <row r="435" spans="1:20" x14ac:dyDescent="0.2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</row>
    <row r="436" spans="1:20" x14ac:dyDescent="0.2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</row>
    <row r="437" spans="1:20" x14ac:dyDescent="0.2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</row>
    <row r="438" spans="1:20" x14ac:dyDescent="0.2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</row>
    <row r="439" spans="1:20" x14ac:dyDescent="0.2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</row>
    <row r="440" spans="1:20" x14ac:dyDescent="0.2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</row>
    <row r="441" spans="1:20" x14ac:dyDescent="0.2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</row>
    <row r="442" spans="1:20" x14ac:dyDescent="0.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</row>
    <row r="443" spans="1:20" x14ac:dyDescent="0.2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</row>
    <row r="444" spans="1:20" x14ac:dyDescent="0.2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</row>
    <row r="445" spans="1:20" x14ac:dyDescent="0.2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</row>
    <row r="446" spans="1:20" x14ac:dyDescent="0.2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</row>
    <row r="447" spans="1:20" x14ac:dyDescent="0.2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</row>
    <row r="448" spans="1:20" x14ac:dyDescent="0.2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</row>
    <row r="449" spans="1:20" x14ac:dyDescent="0.2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</row>
    <row r="450" spans="1:20" x14ac:dyDescent="0.2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</row>
    <row r="451" spans="1:20" x14ac:dyDescent="0.2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</row>
    <row r="452" spans="1:20" x14ac:dyDescent="0.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</row>
    <row r="453" spans="1:20" x14ac:dyDescent="0.2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</row>
    <row r="454" spans="1:20" x14ac:dyDescent="0.2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</row>
    <row r="455" spans="1:20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</row>
    <row r="456" spans="1:20" x14ac:dyDescent="0.2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</row>
    <row r="457" spans="1:20" x14ac:dyDescent="0.2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</row>
    <row r="458" spans="1:20" x14ac:dyDescent="0.2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</row>
    <row r="459" spans="1:20" x14ac:dyDescent="0.2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</row>
    <row r="460" spans="1:20" x14ac:dyDescent="0.2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</row>
    <row r="461" spans="1:20" x14ac:dyDescent="0.2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</row>
    <row r="462" spans="1:20" x14ac:dyDescent="0.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</row>
    <row r="463" spans="1:20" x14ac:dyDescent="0.2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</row>
    <row r="464" spans="1:20" x14ac:dyDescent="0.2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</row>
    <row r="465" spans="1:20" x14ac:dyDescent="0.2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</row>
    <row r="466" spans="1:20" x14ac:dyDescent="0.2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</row>
    <row r="467" spans="1:20" x14ac:dyDescent="0.2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</row>
    <row r="468" spans="1:20" x14ac:dyDescent="0.2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</row>
    <row r="469" spans="1:20" x14ac:dyDescent="0.2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</row>
    <row r="470" spans="1:20" x14ac:dyDescent="0.2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</row>
    <row r="471" spans="1:20" x14ac:dyDescent="0.2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</row>
    <row r="472" spans="1:20" x14ac:dyDescent="0.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</row>
    <row r="473" spans="1:20" x14ac:dyDescent="0.2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</row>
    <row r="474" spans="1:20" x14ac:dyDescent="0.2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</row>
    <row r="475" spans="1:20" x14ac:dyDescent="0.2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</row>
    <row r="476" spans="1:20" x14ac:dyDescent="0.2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</row>
    <row r="477" spans="1:20" x14ac:dyDescent="0.2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</row>
    <row r="478" spans="1:20" x14ac:dyDescent="0.2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</row>
    <row r="479" spans="1:20" x14ac:dyDescent="0.2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</row>
    <row r="480" spans="1:20" x14ac:dyDescent="0.2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</row>
    <row r="481" spans="1:20" x14ac:dyDescent="0.2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</row>
    <row r="482" spans="1:20" x14ac:dyDescent="0.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</row>
    <row r="483" spans="1:20" x14ac:dyDescent="0.2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</row>
    <row r="484" spans="1:20" x14ac:dyDescent="0.2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</row>
    <row r="485" spans="1:20" x14ac:dyDescent="0.2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</row>
    <row r="486" spans="1:20" x14ac:dyDescent="0.2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</row>
    <row r="487" spans="1:20" x14ac:dyDescent="0.2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</row>
    <row r="488" spans="1:20" x14ac:dyDescent="0.2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</row>
    <row r="489" spans="1:20" x14ac:dyDescent="0.2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</row>
    <row r="490" spans="1:20" x14ac:dyDescent="0.2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</row>
    <row r="491" spans="1:20" x14ac:dyDescent="0.2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</row>
    <row r="492" spans="1:20" x14ac:dyDescent="0.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</row>
    <row r="493" spans="1:20" x14ac:dyDescent="0.2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</row>
    <row r="494" spans="1:20" x14ac:dyDescent="0.2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</row>
    <row r="495" spans="1:20" x14ac:dyDescent="0.2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</row>
    <row r="496" spans="1:20" x14ac:dyDescent="0.2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</row>
    <row r="497" spans="1:20" x14ac:dyDescent="0.2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</row>
    <row r="498" spans="1:20" x14ac:dyDescent="0.2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</row>
    <row r="499" spans="1:20" x14ac:dyDescent="0.2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</row>
    <row r="500" spans="1:20" x14ac:dyDescent="0.2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</row>
    <row r="501" spans="1:20" x14ac:dyDescent="0.2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</row>
    <row r="502" spans="1:20" x14ac:dyDescent="0.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</row>
    <row r="503" spans="1:20" x14ac:dyDescent="0.2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</row>
    <row r="504" spans="1:20" x14ac:dyDescent="0.2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</row>
    <row r="505" spans="1:20" x14ac:dyDescent="0.2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</row>
    <row r="506" spans="1:20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</row>
    <row r="507" spans="1:20" x14ac:dyDescent="0.2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</row>
    <row r="508" spans="1:20" x14ac:dyDescent="0.2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</row>
    <row r="509" spans="1:20" x14ac:dyDescent="0.2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</row>
    <row r="510" spans="1:20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</row>
    <row r="511" spans="1:20" x14ac:dyDescent="0.2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</row>
    <row r="512" spans="1:20" x14ac:dyDescent="0.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</row>
    <row r="513" spans="1:20" x14ac:dyDescent="0.2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</row>
    <row r="514" spans="1:20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</row>
    <row r="515" spans="1:20" x14ac:dyDescent="0.2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</row>
    <row r="516" spans="1:20" x14ac:dyDescent="0.2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</row>
    <row r="517" spans="1:20" x14ac:dyDescent="0.2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</row>
    <row r="518" spans="1:20" x14ac:dyDescent="0.2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</row>
    <row r="519" spans="1:20" x14ac:dyDescent="0.2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</row>
    <row r="520" spans="1:20" x14ac:dyDescent="0.2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</row>
    <row r="521" spans="1:20" x14ac:dyDescent="0.2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</row>
    <row r="522" spans="1:20" x14ac:dyDescent="0.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</row>
    <row r="523" spans="1:20" x14ac:dyDescent="0.2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</row>
    <row r="524" spans="1:20" x14ac:dyDescent="0.2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</row>
    <row r="525" spans="1:20" x14ac:dyDescent="0.2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</row>
    <row r="526" spans="1:20" x14ac:dyDescent="0.2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</row>
    <row r="527" spans="1:20" x14ac:dyDescent="0.2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</row>
    <row r="528" spans="1:20" x14ac:dyDescent="0.2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</row>
    <row r="529" spans="1:20" x14ac:dyDescent="0.2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</row>
    <row r="530" spans="1:20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</row>
    <row r="531" spans="1:20" x14ac:dyDescent="0.2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</row>
    <row r="532" spans="1:20" x14ac:dyDescent="0.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</row>
    <row r="533" spans="1:20" x14ac:dyDescent="0.2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</row>
    <row r="534" spans="1:20" x14ac:dyDescent="0.2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</row>
    <row r="535" spans="1:20" x14ac:dyDescent="0.2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</row>
    <row r="536" spans="1:20" x14ac:dyDescent="0.2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</row>
    <row r="537" spans="1:20" x14ac:dyDescent="0.2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</row>
    <row r="538" spans="1:20" x14ac:dyDescent="0.2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</row>
    <row r="539" spans="1:20" x14ac:dyDescent="0.2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</row>
    <row r="540" spans="1:20" x14ac:dyDescent="0.2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</row>
    <row r="541" spans="1:20" x14ac:dyDescent="0.2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</row>
    <row r="542" spans="1:20" x14ac:dyDescent="0.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</row>
    <row r="543" spans="1:20" x14ac:dyDescent="0.2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</row>
    <row r="544" spans="1:20" x14ac:dyDescent="0.2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</row>
    <row r="545" spans="1:20" x14ac:dyDescent="0.2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</row>
    <row r="546" spans="1:20" x14ac:dyDescent="0.2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</row>
    <row r="547" spans="1:20" x14ac:dyDescent="0.2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</row>
    <row r="548" spans="1:20" x14ac:dyDescent="0.2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</row>
    <row r="549" spans="1:20" x14ac:dyDescent="0.2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</row>
    <row r="550" spans="1:20" x14ac:dyDescent="0.2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</row>
    <row r="551" spans="1:20" x14ac:dyDescent="0.2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</row>
    <row r="552" spans="1:20" x14ac:dyDescent="0.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</row>
    <row r="553" spans="1:20" x14ac:dyDescent="0.2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</row>
    <row r="554" spans="1:20" x14ac:dyDescent="0.2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</row>
    <row r="555" spans="1:20" x14ac:dyDescent="0.2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</row>
    <row r="556" spans="1:20" x14ac:dyDescent="0.2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</row>
    <row r="557" spans="1:20" x14ac:dyDescent="0.2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</row>
    <row r="558" spans="1:20" x14ac:dyDescent="0.2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</row>
    <row r="559" spans="1:20" x14ac:dyDescent="0.2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</row>
    <row r="560" spans="1:20" x14ac:dyDescent="0.2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</row>
    <row r="561" spans="1:20" x14ac:dyDescent="0.2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</row>
    <row r="562" spans="1:20" x14ac:dyDescent="0.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</row>
    <row r="563" spans="1:20" x14ac:dyDescent="0.2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</row>
    <row r="564" spans="1:20" x14ac:dyDescent="0.2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</row>
    <row r="565" spans="1:20" x14ac:dyDescent="0.2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</row>
    <row r="566" spans="1:20" x14ac:dyDescent="0.2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</row>
    <row r="567" spans="1:20" x14ac:dyDescent="0.2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</row>
    <row r="568" spans="1:20" x14ac:dyDescent="0.2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</row>
    <row r="569" spans="1:20" x14ac:dyDescent="0.2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</row>
    <row r="570" spans="1:20" x14ac:dyDescent="0.2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</row>
    <row r="571" spans="1:20" x14ac:dyDescent="0.2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</row>
    <row r="572" spans="1:20" x14ac:dyDescent="0.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</row>
    <row r="573" spans="1:20" x14ac:dyDescent="0.2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</row>
    <row r="574" spans="1:20" x14ac:dyDescent="0.2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</row>
    <row r="575" spans="1:20" x14ac:dyDescent="0.2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</row>
    <row r="576" spans="1:20" x14ac:dyDescent="0.2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</row>
    <row r="577" spans="1:20" x14ac:dyDescent="0.2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</row>
    <row r="578" spans="1:20" x14ac:dyDescent="0.2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</row>
    <row r="579" spans="1:20" x14ac:dyDescent="0.2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</row>
    <row r="580" spans="1:20" x14ac:dyDescent="0.2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</row>
    <row r="581" spans="1:20" x14ac:dyDescent="0.2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</row>
    <row r="582" spans="1:20" x14ac:dyDescent="0.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</row>
    <row r="583" spans="1:20" x14ac:dyDescent="0.2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</row>
    <row r="584" spans="1:20" x14ac:dyDescent="0.2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</row>
    <row r="585" spans="1:20" x14ac:dyDescent="0.2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</row>
    <row r="586" spans="1:20" x14ac:dyDescent="0.2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</row>
    <row r="587" spans="1:20" x14ac:dyDescent="0.2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</row>
    <row r="588" spans="1:20" x14ac:dyDescent="0.2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</row>
    <row r="589" spans="1:20" x14ac:dyDescent="0.2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</row>
    <row r="590" spans="1:20" x14ac:dyDescent="0.2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</row>
    <row r="591" spans="1:20" x14ac:dyDescent="0.2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</row>
    <row r="592" spans="1:20" x14ac:dyDescent="0.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</row>
    <row r="593" spans="1:20" x14ac:dyDescent="0.2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</row>
    <row r="594" spans="1:20" x14ac:dyDescent="0.2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</row>
    <row r="595" spans="1:20" x14ac:dyDescent="0.2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</row>
    <row r="596" spans="1:20" x14ac:dyDescent="0.2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</row>
    <row r="597" spans="1:20" x14ac:dyDescent="0.2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</row>
    <row r="598" spans="1:20" x14ac:dyDescent="0.2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</row>
    <row r="599" spans="1:20" x14ac:dyDescent="0.2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</row>
    <row r="600" spans="1:20" x14ac:dyDescent="0.2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</row>
    <row r="601" spans="1:20" x14ac:dyDescent="0.2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</row>
    <row r="602" spans="1:20" x14ac:dyDescent="0.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</row>
    <row r="603" spans="1:20" x14ac:dyDescent="0.2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</row>
    <row r="604" spans="1:20" x14ac:dyDescent="0.2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</row>
    <row r="605" spans="1:20" x14ac:dyDescent="0.2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</row>
    <row r="606" spans="1:20" x14ac:dyDescent="0.2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</row>
    <row r="607" spans="1:20" x14ac:dyDescent="0.2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</row>
    <row r="608" spans="1:20" x14ac:dyDescent="0.2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</row>
    <row r="609" spans="1:20" x14ac:dyDescent="0.2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</row>
    <row r="610" spans="1:20" x14ac:dyDescent="0.2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</row>
    <row r="611" spans="1:20" x14ac:dyDescent="0.2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</row>
    <row r="612" spans="1:20" x14ac:dyDescent="0.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</row>
    <row r="613" spans="1:20" x14ac:dyDescent="0.2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</row>
    <row r="614" spans="1:20" x14ac:dyDescent="0.2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</row>
    <row r="615" spans="1:20" x14ac:dyDescent="0.2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</row>
    <row r="616" spans="1:20" x14ac:dyDescent="0.2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</row>
    <row r="617" spans="1:20" x14ac:dyDescent="0.2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</row>
    <row r="618" spans="1:20" x14ac:dyDescent="0.2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</row>
    <row r="619" spans="1:20" x14ac:dyDescent="0.2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</row>
    <row r="620" spans="1:20" x14ac:dyDescent="0.2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</row>
    <row r="621" spans="1:20" x14ac:dyDescent="0.2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</row>
    <row r="622" spans="1:20" x14ac:dyDescent="0.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</row>
    <row r="623" spans="1:20" x14ac:dyDescent="0.2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</row>
    <row r="624" spans="1:20" x14ac:dyDescent="0.2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</row>
    <row r="625" spans="1:20" x14ac:dyDescent="0.2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</row>
    <row r="626" spans="1:20" x14ac:dyDescent="0.2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</row>
    <row r="627" spans="1:20" x14ac:dyDescent="0.2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</row>
    <row r="628" spans="1:20" x14ac:dyDescent="0.2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</row>
    <row r="629" spans="1:20" x14ac:dyDescent="0.2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</row>
    <row r="630" spans="1:20" x14ac:dyDescent="0.2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</row>
    <row r="631" spans="1:20" x14ac:dyDescent="0.2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</row>
    <row r="632" spans="1:20" x14ac:dyDescent="0.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</row>
    <row r="633" spans="1:20" x14ac:dyDescent="0.2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</row>
    <row r="634" spans="1:20" x14ac:dyDescent="0.2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</row>
    <row r="635" spans="1:20" x14ac:dyDescent="0.2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</row>
    <row r="636" spans="1:20" x14ac:dyDescent="0.2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</row>
    <row r="637" spans="1:20" x14ac:dyDescent="0.2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</row>
    <row r="638" spans="1:20" x14ac:dyDescent="0.2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</row>
    <row r="639" spans="1:20" x14ac:dyDescent="0.2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</row>
    <row r="640" spans="1:20" x14ac:dyDescent="0.2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</row>
    <row r="641" spans="1:20" x14ac:dyDescent="0.2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</row>
    <row r="642" spans="1:20" x14ac:dyDescent="0.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</row>
    <row r="643" spans="1:20" x14ac:dyDescent="0.2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</row>
    <row r="644" spans="1:20" x14ac:dyDescent="0.2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</row>
    <row r="645" spans="1:20" x14ac:dyDescent="0.2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</row>
    <row r="646" spans="1:20" x14ac:dyDescent="0.2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</row>
    <row r="647" spans="1:20" x14ac:dyDescent="0.2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</row>
    <row r="648" spans="1:20" x14ac:dyDescent="0.2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</row>
    <row r="649" spans="1:20" x14ac:dyDescent="0.2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</row>
    <row r="650" spans="1:20" x14ac:dyDescent="0.2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</row>
    <row r="651" spans="1:20" x14ac:dyDescent="0.2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</row>
    <row r="652" spans="1:20" x14ac:dyDescent="0.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</row>
    <row r="653" spans="1:20" x14ac:dyDescent="0.2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</row>
    <row r="654" spans="1:20" x14ac:dyDescent="0.2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</row>
    <row r="655" spans="1:20" x14ac:dyDescent="0.2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</row>
    <row r="656" spans="1:20" x14ac:dyDescent="0.2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</row>
    <row r="657" spans="1:20" x14ac:dyDescent="0.2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</row>
    <row r="658" spans="1:20" x14ac:dyDescent="0.2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</row>
    <row r="659" spans="1:20" x14ac:dyDescent="0.2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</row>
    <row r="660" spans="1:20" x14ac:dyDescent="0.2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</row>
    <row r="661" spans="1:20" x14ac:dyDescent="0.2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</row>
    <row r="662" spans="1:20" x14ac:dyDescent="0.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</row>
    <row r="663" spans="1:20" x14ac:dyDescent="0.2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</row>
    <row r="664" spans="1:20" x14ac:dyDescent="0.2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</row>
    <row r="665" spans="1:20" x14ac:dyDescent="0.2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</row>
    <row r="666" spans="1:20" x14ac:dyDescent="0.2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</row>
    <row r="667" spans="1:20" x14ac:dyDescent="0.2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</row>
    <row r="668" spans="1:20" x14ac:dyDescent="0.2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</row>
    <row r="669" spans="1:20" x14ac:dyDescent="0.2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</row>
    <row r="670" spans="1:20" x14ac:dyDescent="0.2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</row>
    <row r="671" spans="1:20" x14ac:dyDescent="0.2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</row>
    <row r="672" spans="1:20" x14ac:dyDescent="0.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</row>
    <row r="673" spans="1:20" x14ac:dyDescent="0.2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</row>
    <row r="674" spans="1:20" x14ac:dyDescent="0.2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</row>
    <row r="675" spans="1:20" x14ac:dyDescent="0.2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</row>
    <row r="676" spans="1:20" x14ac:dyDescent="0.2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</row>
    <row r="677" spans="1:20" x14ac:dyDescent="0.2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</row>
    <row r="678" spans="1:20" x14ac:dyDescent="0.2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</row>
    <row r="679" spans="1:20" x14ac:dyDescent="0.2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</row>
    <row r="680" spans="1:20" x14ac:dyDescent="0.2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</row>
    <row r="681" spans="1:20" x14ac:dyDescent="0.2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</row>
    <row r="682" spans="1:20" x14ac:dyDescent="0.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</row>
    <row r="683" spans="1:20" x14ac:dyDescent="0.2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</row>
    <row r="684" spans="1:20" x14ac:dyDescent="0.2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</row>
    <row r="685" spans="1:20" x14ac:dyDescent="0.2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</row>
    <row r="686" spans="1:20" x14ac:dyDescent="0.2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</row>
    <row r="687" spans="1:20" x14ac:dyDescent="0.2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</row>
    <row r="688" spans="1:20" x14ac:dyDescent="0.2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</row>
    <row r="689" spans="1:20" x14ac:dyDescent="0.2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</row>
    <row r="690" spans="1:20" x14ac:dyDescent="0.2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</row>
    <row r="691" spans="1:20" x14ac:dyDescent="0.2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</row>
    <row r="692" spans="1:20" x14ac:dyDescent="0.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</row>
    <row r="693" spans="1:20" x14ac:dyDescent="0.2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</row>
    <row r="694" spans="1:20" x14ac:dyDescent="0.2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</row>
    <row r="695" spans="1:20" x14ac:dyDescent="0.2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</row>
    <row r="696" spans="1:20" x14ac:dyDescent="0.2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</row>
    <row r="697" spans="1:20" x14ac:dyDescent="0.2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</row>
    <row r="698" spans="1:20" x14ac:dyDescent="0.2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</row>
    <row r="699" spans="1:20" x14ac:dyDescent="0.2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</row>
    <row r="700" spans="1:20" x14ac:dyDescent="0.2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</row>
    <row r="701" spans="1:20" x14ac:dyDescent="0.2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</row>
    <row r="702" spans="1:20" x14ac:dyDescent="0.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</row>
    <row r="703" spans="1:20" x14ac:dyDescent="0.2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</row>
    <row r="704" spans="1:20" x14ac:dyDescent="0.2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</row>
    <row r="705" spans="1:20" x14ac:dyDescent="0.2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</row>
    <row r="706" spans="1:20" x14ac:dyDescent="0.2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</row>
    <row r="707" spans="1:20" x14ac:dyDescent="0.2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</row>
    <row r="708" spans="1:20" x14ac:dyDescent="0.2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</row>
    <row r="709" spans="1:20" x14ac:dyDescent="0.2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</row>
    <row r="710" spans="1:20" x14ac:dyDescent="0.2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</row>
    <row r="711" spans="1:20" x14ac:dyDescent="0.2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</row>
    <row r="712" spans="1:20" x14ac:dyDescent="0.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</row>
    <row r="713" spans="1:20" x14ac:dyDescent="0.2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</row>
    <row r="714" spans="1:20" x14ac:dyDescent="0.2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</row>
    <row r="715" spans="1:20" x14ac:dyDescent="0.2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</row>
    <row r="716" spans="1:20" x14ac:dyDescent="0.2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</row>
    <row r="717" spans="1:20" x14ac:dyDescent="0.2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</row>
    <row r="718" spans="1:20" x14ac:dyDescent="0.2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</row>
    <row r="719" spans="1:20" x14ac:dyDescent="0.2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</row>
    <row r="720" spans="1:20" x14ac:dyDescent="0.2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</row>
    <row r="721" spans="1:20" x14ac:dyDescent="0.2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</row>
    <row r="722" spans="1:20" x14ac:dyDescent="0.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</row>
    <row r="723" spans="1:20" x14ac:dyDescent="0.2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</row>
    <row r="724" spans="1:20" x14ac:dyDescent="0.2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</row>
    <row r="725" spans="1:20" x14ac:dyDescent="0.2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</row>
    <row r="726" spans="1:20" x14ac:dyDescent="0.2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</row>
    <row r="727" spans="1:20" x14ac:dyDescent="0.2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</row>
    <row r="728" spans="1:20" x14ac:dyDescent="0.2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</row>
    <row r="729" spans="1:20" x14ac:dyDescent="0.2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</row>
    <row r="730" spans="1:20" x14ac:dyDescent="0.2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</row>
    <row r="731" spans="1:20" x14ac:dyDescent="0.2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</row>
    <row r="732" spans="1:20" x14ac:dyDescent="0.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</row>
    <row r="733" spans="1:20" x14ac:dyDescent="0.2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</row>
    <row r="734" spans="1:20" x14ac:dyDescent="0.2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</row>
    <row r="735" spans="1:20" x14ac:dyDescent="0.2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</row>
    <row r="736" spans="1:20" x14ac:dyDescent="0.2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</row>
    <row r="737" spans="1:20" x14ac:dyDescent="0.2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</row>
    <row r="738" spans="1:20" x14ac:dyDescent="0.2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</row>
    <row r="739" spans="1:20" x14ac:dyDescent="0.2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</row>
    <row r="740" spans="1:20" x14ac:dyDescent="0.2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</row>
    <row r="741" spans="1:20" x14ac:dyDescent="0.2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</row>
    <row r="742" spans="1:20" x14ac:dyDescent="0.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</row>
    <row r="743" spans="1:20" x14ac:dyDescent="0.2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</row>
    <row r="744" spans="1:20" x14ac:dyDescent="0.2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</row>
    <row r="745" spans="1:20" x14ac:dyDescent="0.2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</row>
    <row r="746" spans="1:20" x14ac:dyDescent="0.2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</row>
    <row r="747" spans="1:20" x14ac:dyDescent="0.2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</row>
    <row r="748" spans="1:20" x14ac:dyDescent="0.2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</row>
    <row r="749" spans="1:20" x14ac:dyDescent="0.2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</row>
    <row r="750" spans="1:20" x14ac:dyDescent="0.2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</row>
    <row r="751" spans="1:20" x14ac:dyDescent="0.2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</row>
    <row r="752" spans="1:20" x14ac:dyDescent="0.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</row>
    <row r="753" spans="1:20" x14ac:dyDescent="0.2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</row>
    <row r="754" spans="1:20" x14ac:dyDescent="0.2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</row>
    <row r="755" spans="1:20" x14ac:dyDescent="0.2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</row>
    <row r="756" spans="1:20" x14ac:dyDescent="0.2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</row>
    <row r="757" spans="1:20" x14ac:dyDescent="0.2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</row>
    <row r="758" spans="1:20" x14ac:dyDescent="0.2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</row>
    <row r="759" spans="1:20" x14ac:dyDescent="0.2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</row>
    <row r="760" spans="1:20" x14ac:dyDescent="0.2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</row>
    <row r="761" spans="1:20" x14ac:dyDescent="0.2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</row>
    <row r="762" spans="1:20" x14ac:dyDescent="0.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</row>
    <row r="763" spans="1:20" x14ac:dyDescent="0.2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</row>
    <row r="764" spans="1:20" x14ac:dyDescent="0.2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</row>
    <row r="765" spans="1:20" x14ac:dyDescent="0.2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</row>
    <row r="766" spans="1:20" x14ac:dyDescent="0.2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</row>
    <row r="767" spans="1:20" x14ac:dyDescent="0.2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</row>
    <row r="768" spans="1:20" x14ac:dyDescent="0.2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</row>
    <row r="769" spans="1:20" x14ac:dyDescent="0.2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</row>
    <row r="770" spans="1:20" x14ac:dyDescent="0.2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</row>
    <row r="771" spans="1:20" x14ac:dyDescent="0.2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</row>
    <row r="772" spans="1:20" x14ac:dyDescent="0.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</row>
    <row r="773" spans="1:20" x14ac:dyDescent="0.2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</row>
    <row r="774" spans="1:20" x14ac:dyDescent="0.2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</row>
    <row r="775" spans="1:20" x14ac:dyDescent="0.2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</row>
    <row r="776" spans="1:20" x14ac:dyDescent="0.2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</row>
    <row r="777" spans="1:20" x14ac:dyDescent="0.2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</row>
    <row r="778" spans="1:20" x14ac:dyDescent="0.2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</row>
    <row r="779" spans="1:20" x14ac:dyDescent="0.2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</row>
    <row r="780" spans="1:20" x14ac:dyDescent="0.2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</row>
    <row r="781" spans="1:20" x14ac:dyDescent="0.2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</row>
    <row r="782" spans="1:20" x14ac:dyDescent="0.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</row>
    <row r="783" spans="1:20" x14ac:dyDescent="0.2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</row>
    <row r="784" spans="1:20" x14ac:dyDescent="0.2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</row>
    <row r="785" spans="1:20" x14ac:dyDescent="0.2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</row>
    <row r="786" spans="1:20" x14ac:dyDescent="0.2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</row>
    <row r="787" spans="1:20" x14ac:dyDescent="0.2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</row>
    <row r="788" spans="1:20" x14ac:dyDescent="0.2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</row>
    <row r="789" spans="1:20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</row>
    <row r="790" spans="1:20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</row>
    <row r="791" spans="1:20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</row>
    <row r="792" spans="1:20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</row>
    <row r="793" spans="1:20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</row>
    <row r="794" spans="1:20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</row>
    <row r="795" spans="1:20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</row>
    <row r="796" spans="1:20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</row>
    <row r="797" spans="1:20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</row>
    <row r="798" spans="1:20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</row>
    <row r="799" spans="1:20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</row>
    <row r="800" spans="1:20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</row>
    <row r="801" spans="1:20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</row>
    <row r="802" spans="1:20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</row>
    <row r="803" spans="1:20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</row>
    <row r="804" spans="1:20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</row>
    <row r="805" spans="1:20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</row>
    <row r="806" spans="1:20" x14ac:dyDescent="0.2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</row>
    <row r="807" spans="1:20" x14ac:dyDescent="0.2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</row>
    <row r="808" spans="1:20" x14ac:dyDescent="0.2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</row>
    <row r="809" spans="1:20" x14ac:dyDescent="0.2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</row>
    <row r="810" spans="1:20" x14ac:dyDescent="0.2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</row>
    <row r="811" spans="1:20" x14ac:dyDescent="0.2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</row>
    <row r="812" spans="1:20" x14ac:dyDescent="0.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</row>
    <row r="813" spans="1:20" x14ac:dyDescent="0.2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</row>
    <row r="814" spans="1:20" x14ac:dyDescent="0.2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</row>
    <row r="815" spans="1:20" x14ac:dyDescent="0.2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</row>
    <row r="816" spans="1:20" x14ac:dyDescent="0.2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</row>
    <row r="817" spans="1:20" x14ac:dyDescent="0.2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</row>
    <row r="818" spans="1:20" x14ac:dyDescent="0.2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</row>
    <row r="819" spans="1:20" x14ac:dyDescent="0.2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</row>
    <row r="820" spans="1:20" x14ac:dyDescent="0.2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</row>
    <row r="821" spans="1:20" x14ac:dyDescent="0.2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</row>
    <row r="822" spans="1:20" x14ac:dyDescent="0.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</row>
    <row r="823" spans="1:20" x14ac:dyDescent="0.2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</row>
    <row r="824" spans="1:20" x14ac:dyDescent="0.2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</row>
    <row r="825" spans="1:20" x14ac:dyDescent="0.2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</row>
    <row r="826" spans="1:20" x14ac:dyDescent="0.2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</row>
    <row r="827" spans="1:20" x14ac:dyDescent="0.2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</row>
    <row r="828" spans="1:20" x14ac:dyDescent="0.2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</row>
    <row r="829" spans="1:20" x14ac:dyDescent="0.2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</row>
    <row r="830" spans="1:20" x14ac:dyDescent="0.2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</row>
    <row r="831" spans="1:20" x14ac:dyDescent="0.2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</row>
    <row r="832" spans="1:20" x14ac:dyDescent="0.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</row>
    <row r="833" spans="1:20" x14ac:dyDescent="0.2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</row>
    <row r="834" spans="1:20" x14ac:dyDescent="0.2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</row>
    <row r="835" spans="1:20" x14ac:dyDescent="0.2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</row>
    <row r="836" spans="1:20" x14ac:dyDescent="0.2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</row>
    <row r="837" spans="1:20" x14ac:dyDescent="0.2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</row>
    <row r="838" spans="1:20" x14ac:dyDescent="0.2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</row>
    <row r="839" spans="1:20" x14ac:dyDescent="0.2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</row>
    <row r="840" spans="1:20" x14ac:dyDescent="0.2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</row>
    <row r="841" spans="1:20" x14ac:dyDescent="0.2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</row>
    <row r="842" spans="1:20" x14ac:dyDescent="0.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</row>
    <row r="843" spans="1:20" x14ac:dyDescent="0.2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</row>
    <row r="844" spans="1:20" x14ac:dyDescent="0.2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</row>
    <row r="845" spans="1:20" x14ac:dyDescent="0.2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</row>
    <row r="846" spans="1:20" x14ac:dyDescent="0.2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</row>
    <row r="847" spans="1:20" x14ac:dyDescent="0.2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</row>
    <row r="848" spans="1:20" x14ac:dyDescent="0.2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</row>
    <row r="849" spans="1:20" x14ac:dyDescent="0.2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</row>
    <row r="850" spans="1:20" x14ac:dyDescent="0.2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</row>
    <row r="851" spans="1:20" x14ac:dyDescent="0.2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</row>
    <row r="852" spans="1:20" x14ac:dyDescent="0.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</row>
    <row r="853" spans="1:20" x14ac:dyDescent="0.2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</row>
    <row r="854" spans="1:20" x14ac:dyDescent="0.2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</row>
    <row r="855" spans="1:20" x14ac:dyDescent="0.2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</row>
    <row r="856" spans="1:20" x14ac:dyDescent="0.2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</row>
    <row r="857" spans="1:20" x14ac:dyDescent="0.2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</row>
    <row r="858" spans="1:20" x14ac:dyDescent="0.2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</row>
    <row r="859" spans="1:20" x14ac:dyDescent="0.2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</row>
    <row r="860" spans="1:20" x14ac:dyDescent="0.2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</row>
    <row r="861" spans="1:20" x14ac:dyDescent="0.2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</row>
    <row r="862" spans="1:20" x14ac:dyDescent="0.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</row>
    <row r="863" spans="1:20" x14ac:dyDescent="0.2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</row>
    <row r="864" spans="1:20" x14ac:dyDescent="0.2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</row>
    <row r="865" spans="1:20" x14ac:dyDescent="0.2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</row>
    <row r="866" spans="1:20" x14ac:dyDescent="0.2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</row>
    <row r="867" spans="1:20" x14ac:dyDescent="0.2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</row>
    <row r="868" spans="1:20" x14ac:dyDescent="0.2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</row>
    <row r="869" spans="1:20" x14ac:dyDescent="0.2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</row>
    <row r="870" spans="1:20" x14ac:dyDescent="0.2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</row>
    <row r="871" spans="1:20" x14ac:dyDescent="0.2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</row>
    <row r="872" spans="1:20" x14ac:dyDescent="0.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</row>
    <row r="873" spans="1:20" x14ac:dyDescent="0.2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</row>
    <row r="874" spans="1:20" x14ac:dyDescent="0.2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</row>
    <row r="875" spans="1:20" x14ac:dyDescent="0.2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</row>
    <row r="876" spans="1:20" x14ac:dyDescent="0.2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</row>
    <row r="877" spans="1:20" x14ac:dyDescent="0.2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</row>
    <row r="878" spans="1:20" x14ac:dyDescent="0.2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</row>
    <row r="879" spans="1:20" x14ac:dyDescent="0.2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</row>
    <row r="880" spans="1:20" x14ac:dyDescent="0.2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</row>
    <row r="881" spans="1:20" x14ac:dyDescent="0.2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</row>
    <row r="882" spans="1:20" x14ac:dyDescent="0.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</row>
    <row r="883" spans="1:20" x14ac:dyDescent="0.2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</row>
    <row r="884" spans="1:20" x14ac:dyDescent="0.2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</row>
    <row r="885" spans="1:20" x14ac:dyDescent="0.2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</row>
    <row r="886" spans="1:20" x14ac:dyDescent="0.2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</row>
    <row r="887" spans="1:20" x14ac:dyDescent="0.2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</row>
    <row r="888" spans="1:20" x14ac:dyDescent="0.2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</row>
    <row r="889" spans="1:20" x14ac:dyDescent="0.2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</row>
    <row r="890" spans="1:20" x14ac:dyDescent="0.2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</row>
    <row r="891" spans="1:20" x14ac:dyDescent="0.2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</row>
    <row r="892" spans="1:20" x14ac:dyDescent="0.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</row>
    <row r="893" spans="1:20" x14ac:dyDescent="0.2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</row>
    <row r="894" spans="1:20" x14ac:dyDescent="0.2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</row>
    <row r="895" spans="1:20" x14ac:dyDescent="0.2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</row>
    <row r="896" spans="1:20" x14ac:dyDescent="0.2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</row>
    <row r="897" spans="1:20" x14ac:dyDescent="0.2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</row>
    <row r="898" spans="1:20" x14ac:dyDescent="0.2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</row>
    <row r="899" spans="1:20" x14ac:dyDescent="0.2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</row>
    <row r="900" spans="1:20" x14ac:dyDescent="0.2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</row>
    <row r="901" spans="1:20" x14ac:dyDescent="0.2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</row>
    <row r="902" spans="1:20" x14ac:dyDescent="0.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</row>
    <row r="903" spans="1:20" x14ac:dyDescent="0.2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</row>
    <row r="904" spans="1:20" x14ac:dyDescent="0.2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</row>
    <row r="905" spans="1:20" x14ac:dyDescent="0.2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</row>
    <row r="906" spans="1:20" x14ac:dyDescent="0.2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</row>
    <row r="907" spans="1:20" x14ac:dyDescent="0.2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</row>
    <row r="908" spans="1:20" x14ac:dyDescent="0.2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</row>
    <row r="909" spans="1:20" x14ac:dyDescent="0.2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</row>
    <row r="910" spans="1:20" x14ac:dyDescent="0.2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</row>
    <row r="911" spans="1:20" x14ac:dyDescent="0.2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</row>
    <row r="912" spans="1:20" x14ac:dyDescent="0.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</row>
    <row r="913" spans="1:20" x14ac:dyDescent="0.2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</row>
    <row r="914" spans="1:20" x14ac:dyDescent="0.2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</row>
    <row r="915" spans="1:20" x14ac:dyDescent="0.2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</row>
    <row r="916" spans="1:20" x14ac:dyDescent="0.2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</row>
    <row r="917" spans="1:20" x14ac:dyDescent="0.2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</row>
    <row r="918" spans="1:20" x14ac:dyDescent="0.2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</row>
    <row r="919" spans="1:20" x14ac:dyDescent="0.2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</row>
    <row r="920" spans="1:20" x14ac:dyDescent="0.2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</row>
    <row r="921" spans="1:20" x14ac:dyDescent="0.2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</row>
    <row r="922" spans="1:20" x14ac:dyDescent="0.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</row>
    <row r="923" spans="1:20" x14ac:dyDescent="0.2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</row>
    <row r="924" spans="1:20" x14ac:dyDescent="0.2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</row>
    <row r="925" spans="1:20" x14ac:dyDescent="0.2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</row>
    <row r="926" spans="1:20" x14ac:dyDescent="0.2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</row>
    <row r="927" spans="1:20" x14ac:dyDescent="0.2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</row>
    <row r="928" spans="1:20" x14ac:dyDescent="0.2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</row>
    <row r="929" spans="1:20" x14ac:dyDescent="0.2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</row>
    <row r="930" spans="1:20" x14ac:dyDescent="0.2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</row>
    <row r="931" spans="1:20" x14ac:dyDescent="0.2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</row>
    <row r="932" spans="1:20" x14ac:dyDescent="0.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</row>
    <row r="933" spans="1:20" x14ac:dyDescent="0.2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</row>
    <row r="934" spans="1:20" x14ac:dyDescent="0.2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</row>
    <row r="935" spans="1:20" x14ac:dyDescent="0.2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</row>
    <row r="936" spans="1:20" x14ac:dyDescent="0.2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</row>
    <row r="937" spans="1:20" x14ac:dyDescent="0.2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</row>
    <row r="938" spans="1:20" x14ac:dyDescent="0.2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</row>
    <row r="939" spans="1:20" x14ac:dyDescent="0.2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</row>
    <row r="940" spans="1:20" x14ac:dyDescent="0.2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</row>
    <row r="941" spans="1:20" x14ac:dyDescent="0.2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</row>
    <row r="942" spans="1:20" x14ac:dyDescent="0.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</row>
    <row r="943" spans="1:20" x14ac:dyDescent="0.2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</row>
    <row r="944" spans="1:20" x14ac:dyDescent="0.2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</row>
    <row r="945" spans="1:20" x14ac:dyDescent="0.2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</row>
    <row r="946" spans="1:20" x14ac:dyDescent="0.2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</row>
    <row r="947" spans="1:20" x14ac:dyDescent="0.2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</row>
    <row r="948" spans="1:20" x14ac:dyDescent="0.2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</row>
    <row r="949" spans="1:20" x14ac:dyDescent="0.2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</row>
    <row r="950" spans="1:20" x14ac:dyDescent="0.2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</row>
    <row r="951" spans="1:20" x14ac:dyDescent="0.2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</row>
    <row r="952" spans="1:20" x14ac:dyDescent="0.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</row>
    <row r="953" spans="1:20" x14ac:dyDescent="0.2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</row>
    <row r="954" spans="1:20" x14ac:dyDescent="0.2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</row>
    <row r="955" spans="1:20" x14ac:dyDescent="0.2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</row>
    <row r="956" spans="1:20" x14ac:dyDescent="0.2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</row>
    <row r="957" spans="1:20" x14ac:dyDescent="0.2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</row>
    <row r="958" spans="1:20" x14ac:dyDescent="0.2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</row>
    <row r="959" spans="1:20" x14ac:dyDescent="0.2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</row>
    <row r="960" spans="1:20" x14ac:dyDescent="0.2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</row>
    <row r="961" spans="1:20" x14ac:dyDescent="0.2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</row>
    <row r="962" spans="1:20" x14ac:dyDescent="0.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</row>
    <row r="963" spans="1:20" x14ac:dyDescent="0.2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</row>
    <row r="964" spans="1:20" x14ac:dyDescent="0.2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</row>
    <row r="965" spans="1:20" x14ac:dyDescent="0.2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</row>
    <row r="966" spans="1:20" x14ac:dyDescent="0.2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</row>
    <row r="967" spans="1:20" x14ac:dyDescent="0.2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</row>
    <row r="968" spans="1:20" x14ac:dyDescent="0.2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</row>
    <row r="969" spans="1:20" x14ac:dyDescent="0.2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</row>
    <row r="970" spans="1:20" x14ac:dyDescent="0.2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</row>
    <row r="971" spans="1:20" x14ac:dyDescent="0.2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</row>
    <row r="972" spans="1:20" x14ac:dyDescent="0.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</row>
    <row r="973" spans="1:20" x14ac:dyDescent="0.2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</row>
    <row r="974" spans="1:20" x14ac:dyDescent="0.2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</row>
    <row r="975" spans="1:20" x14ac:dyDescent="0.2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</row>
    <row r="976" spans="1:20" x14ac:dyDescent="0.2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</row>
    <row r="977" spans="1:20" x14ac:dyDescent="0.2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</row>
    <row r="978" spans="1:20" x14ac:dyDescent="0.2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</row>
    <row r="979" spans="1:20" x14ac:dyDescent="0.2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</row>
    <row r="980" spans="1:20" x14ac:dyDescent="0.2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</row>
    <row r="981" spans="1:20" x14ac:dyDescent="0.2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</row>
    <row r="982" spans="1:20" x14ac:dyDescent="0.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</row>
    <row r="983" spans="1:20" x14ac:dyDescent="0.2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</row>
    <row r="984" spans="1:20" x14ac:dyDescent="0.2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</row>
    <row r="985" spans="1:20" x14ac:dyDescent="0.2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</row>
    <row r="986" spans="1:20" x14ac:dyDescent="0.2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</row>
    <row r="987" spans="1:20" x14ac:dyDescent="0.2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</row>
    <row r="988" spans="1:20" x14ac:dyDescent="0.2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</row>
    <row r="989" spans="1:20" x14ac:dyDescent="0.2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</row>
    <row r="990" spans="1:20" x14ac:dyDescent="0.2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</row>
    <row r="991" spans="1:20" x14ac:dyDescent="0.2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</row>
    <row r="992" spans="1:20" x14ac:dyDescent="0.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</row>
    <row r="993" spans="1:20" x14ac:dyDescent="0.2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</row>
    <row r="994" spans="1:20" x14ac:dyDescent="0.2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</row>
    <row r="995" spans="1:20" x14ac:dyDescent="0.2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</row>
    <row r="996" spans="1:20" x14ac:dyDescent="0.2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</row>
    <row r="997" spans="1:20" x14ac:dyDescent="0.2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</row>
    <row r="998" spans="1:20" x14ac:dyDescent="0.2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</row>
    <row r="999" spans="1:20" x14ac:dyDescent="0.2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Outline for SPSS</vt:lpstr>
      <vt:lpstr>SPSS results</vt:lpstr>
      <vt:lpstr>Body Comp, US, pQCT (wo20)</vt:lpstr>
      <vt:lpstr>1RMs</vt:lpstr>
      <vt:lpstr>Body comp and ultrasound (w20)</vt:lpstr>
    </vt:vector>
  </TitlesOfParts>
  <Company>Auburn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Michael Roberts</cp:lastModifiedBy>
  <dcterms:created xsi:type="dcterms:W3CDTF">2020-11-13T15:45:25Z</dcterms:created>
  <dcterms:modified xsi:type="dcterms:W3CDTF">2025-12-11T08:55:32Z</dcterms:modified>
</cp:coreProperties>
</file>